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multifps\DataSheets\"/>
    </mc:Choice>
  </mc:AlternateContent>
  <bookViews>
    <workbookView xWindow="2655" yWindow="1080" windowWidth="24600" windowHeight="14220" tabRatio="415"/>
  </bookViews>
  <sheets>
    <sheet name="Database" sheetId="1" r:id="rId1"/>
    <sheet name="Enum" sheetId="6" r:id="rId2"/>
    <sheet name="Export" sheetId="3" r:id="rId3"/>
    <sheet name="Desr" sheetId="7" r:id="rId4"/>
    <sheet name="정확도" sheetId="8" r:id="rId5"/>
    <sheet name="DV-IDENTITY-0" sheetId="5" state="veryHidden" r:id="rId6"/>
  </sheets>
  <definedNames>
    <definedName name="_xlnm._FilterDatabase" localSheetId="0" hidden="1">Database!$A$4:$V$44</definedName>
    <definedName name="ExpFactor">정확도!#REF!</definedName>
    <definedName name="GunType.Eng">Enum!$J$3:$J$12</definedName>
    <definedName name="GunType.Kor">Enum!$K$3:$K$12</definedName>
    <definedName name="RefAngle">정확도!$B$2</definedName>
    <definedName name="SniperRefAngle">정확도!$B$3</definedName>
    <definedName name="StageCategoryType.Kor">Enum!$C$4:$C$9:Enum!#REF!</definedName>
    <definedName name="WeaponSlotType.Kor">Enum!$C$3:$C$8</definedName>
    <definedName name="WeaponTacticalType.Kor">Enum!$O$3:$O$8</definedName>
    <definedName name="WeaponType.Kor">Enum!$G$3:$G$11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" i="1" l="1"/>
  <c r="AJ44" i="1" l="1"/>
  <c r="AK44" i="1" s="1"/>
  <c r="AL44" i="1" s="1"/>
  <c r="AJ43" i="1"/>
  <c r="AK43" i="1" s="1"/>
  <c r="AL43" i="1" s="1"/>
  <c r="AJ42" i="1"/>
  <c r="AK42" i="1" s="1"/>
  <c r="AL42" i="1" s="1"/>
  <c r="AJ41" i="1"/>
  <c r="AK41" i="1" s="1"/>
  <c r="AL41" i="1" s="1"/>
  <c r="AJ40" i="1"/>
  <c r="AK40" i="1" s="1"/>
  <c r="AL40" i="1" s="1"/>
  <c r="AJ39" i="1"/>
  <c r="AK39" i="1" s="1"/>
  <c r="AL39" i="1" s="1"/>
  <c r="AJ38" i="1"/>
  <c r="AK38" i="1" s="1"/>
  <c r="AL38" i="1" s="1"/>
  <c r="AJ37" i="1"/>
  <c r="AK37" i="1" s="1"/>
  <c r="AL37" i="1" s="1"/>
  <c r="AJ36" i="1"/>
  <c r="AK36" i="1" s="1"/>
  <c r="AJ35" i="1"/>
  <c r="AK35" i="1" s="1"/>
  <c r="AL35" i="1" s="1"/>
  <c r="AJ34" i="1"/>
  <c r="AK34" i="1" s="1"/>
  <c r="AL34" i="1" s="1"/>
  <c r="AJ33" i="1"/>
  <c r="AK33" i="1" s="1"/>
  <c r="AL33" i="1" s="1"/>
  <c r="AJ32" i="1"/>
  <c r="AK32" i="1" s="1"/>
  <c r="AJ31" i="1"/>
  <c r="AK31" i="1" s="1"/>
  <c r="AL31" i="1" s="1"/>
  <c r="AJ30" i="1"/>
  <c r="AK30" i="1" s="1"/>
  <c r="AL30" i="1" s="1"/>
  <c r="AJ29" i="1"/>
  <c r="AK29" i="1" s="1"/>
  <c r="AL29" i="1" s="1"/>
  <c r="AJ28" i="1"/>
  <c r="AK28" i="1" s="1"/>
  <c r="AL28" i="1" s="1"/>
  <c r="AJ27" i="1"/>
  <c r="AK27" i="1" s="1"/>
  <c r="AL27" i="1" s="1"/>
  <c r="AJ26" i="1"/>
  <c r="AK26" i="1" s="1"/>
  <c r="AL26" i="1" s="1"/>
  <c r="AJ25" i="1"/>
  <c r="AK25" i="1" s="1"/>
  <c r="AL25" i="1" s="1"/>
  <c r="AJ24" i="1"/>
  <c r="AK24" i="1" s="1"/>
  <c r="AL24" i="1" s="1"/>
  <c r="AJ23" i="1"/>
  <c r="AK23" i="1" s="1"/>
  <c r="AL23" i="1" s="1"/>
  <c r="AJ22" i="1"/>
  <c r="AK22" i="1" s="1"/>
  <c r="AJ21" i="1"/>
  <c r="AK21" i="1" s="1"/>
  <c r="AL21" i="1" s="1"/>
  <c r="AJ20" i="1"/>
  <c r="AK20" i="1" s="1"/>
  <c r="AL20" i="1" s="1"/>
  <c r="AJ19" i="1"/>
  <c r="AK19" i="1" s="1"/>
  <c r="AL19" i="1" s="1"/>
  <c r="AJ18" i="1"/>
  <c r="AK18" i="1" s="1"/>
  <c r="AL18" i="1" s="1"/>
  <c r="AJ17" i="1"/>
  <c r="AK17" i="1" s="1"/>
  <c r="AL17" i="1" s="1"/>
  <c r="AJ16" i="1"/>
  <c r="AK16" i="1" s="1"/>
  <c r="AL16" i="1" s="1"/>
  <c r="AJ15" i="1"/>
  <c r="AK15" i="1" s="1"/>
  <c r="AL15" i="1" s="1"/>
  <c r="AJ14" i="1"/>
  <c r="AK14" i="1" s="1"/>
  <c r="AL14" i="1" s="1"/>
  <c r="AJ13" i="1"/>
  <c r="AK13" i="1" s="1"/>
  <c r="AL13" i="1" s="1"/>
  <c r="AJ12" i="1"/>
  <c r="AJ11" i="1"/>
  <c r="AK11" i="1" s="1"/>
  <c r="AL11" i="1" s="1"/>
  <c r="AJ10" i="1"/>
  <c r="AK10" i="1" s="1"/>
  <c r="AL10" i="1" s="1"/>
  <c r="AJ9" i="1"/>
  <c r="AK9" i="1" s="1"/>
  <c r="AL9" i="1" s="1"/>
  <c r="AJ8" i="1"/>
  <c r="AK8" i="1" s="1"/>
  <c r="AL8" i="1" s="1"/>
  <c r="AJ7" i="1"/>
  <c r="AK7" i="1" s="1"/>
  <c r="AJ6" i="1"/>
  <c r="AK6" i="1" s="1"/>
  <c r="AL6" i="1" s="1"/>
  <c r="AJ5" i="1"/>
  <c r="AK5" i="1" s="1"/>
  <c r="AL5" i="1" s="1"/>
  <c r="Q44" i="1"/>
  <c r="M44" i="1"/>
  <c r="L44" i="1"/>
  <c r="Q43" i="1"/>
  <c r="M43" i="1"/>
  <c r="L43" i="1"/>
  <c r="Q42" i="1"/>
  <c r="M42" i="1"/>
  <c r="L42" i="1"/>
  <c r="AL36" i="1" l="1"/>
  <c r="AL22" i="1"/>
  <c r="AK12" i="1"/>
  <c r="AL12" i="1" s="1"/>
  <c r="AL32" i="1"/>
  <c r="AL7" i="1"/>
  <c r="Q40" i="1"/>
  <c r="Q39" i="1"/>
  <c r="Q29" i="1"/>
  <c r="Q27" i="1"/>
  <c r="Q14" i="1"/>
  <c r="Q41" i="1" l="1"/>
  <c r="Q38" i="1"/>
  <c r="Q37" i="1"/>
  <c r="Q36" i="1"/>
  <c r="Q35" i="1"/>
  <c r="Q34" i="1"/>
  <c r="Q32" i="1"/>
  <c r="Q31" i="1"/>
  <c r="Q30" i="1"/>
  <c r="Q28" i="1"/>
  <c r="Q26" i="1"/>
  <c r="Q25" i="1"/>
  <c r="Q24" i="1"/>
  <c r="Q23" i="1"/>
  <c r="Q22" i="1"/>
  <c r="Q21" i="1"/>
  <c r="Q20" i="1"/>
  <c r="Q19" i="1"/>
  <c r="Q18" i="1"/>
  <c r="Q17" i="1"/>
  <c r="Q16" i="1"/>
  <c r="Q15" i="1"/>
  <c r="Q13" i="1"/>
  <c r="Q12" i="1"/>
  <c r="Q11" i="1"/>
  <c r="Q10" i="1"/>
  <c r="Q9" i="1"/>
  <c r="Q8" i="1"/>
  <c r="Q7" i="1"/>
  <c r="Q6" i="1"/>
  <c r="Q5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M9" i="1"/>
  <c r="L9" i="1"/>
  <c r="M8" i="1"/>
  <c r="L8" i="1"/>
  <c r="M7" i="1"/>
  <c r="L7" i="1"/>
  <c r="M6" i="1"/>
  <c r="L6" i="1"/>
  <c r="M5" i="1"/>
  <c r="L5" i="1"/>
  <c r="N1" i="5" l="1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T19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BA15" i="5"/>
  <c r="AZ15" i="5"/>
  <c r="AY15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T14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V12" i="5"/>
  <c r="CX12" i="5"/>
  <c r="CY12" i="5"/>
  <c r="CZ12" i="5"/>
  <c r="DA12" i="5"/>
  <c r="DB12" i="5"/>
  <c r="DC12" i="5"/>
  <c r="DD12" i="5"/>
  <c r="DH12" i="5"/>
  <c r="DI12" i="5"/>
  <c r="DJ12" i="5"/>
  <c r="DK12" i="5"/>
  <c r="DL12" i="5"/>
  <c r="DM12" i="5"/>
  <c r="DN12" i="5"/>
  <c r="DO12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IR11" i="5"/>
  <c r="IS11" i="5"/>
  <c r="IT11" i="5"/>
  <c r="IU11" i="5"/>
  <c r="IV11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IR10" i="5"/>
  <c r="IS10" i="5"/>
  <c r="IT10" i="5"/>
  <c r="IU10" i="5"/>
  <c r="IV10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IR7" i="5"/>
  <c r="IS7" i="5"/>
  <c r="IT7" i="5"/>
  <c r="IU7" i="5"/>
  <c r="IV7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IR6" i="5"/>
  <c r="IS6" i="5"/>
  <c r="IT6" i="5"/>
  <c r="IU6" i="5"/>
  <c r="IV6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II3" i="5"/>
  <c r="IJ3" i="5"/>
  <c r="IK3" i="5"/>
  <c r="IL3" i="5"/>
  <c r="IM3" i="5"/>
  <c r="IN3" i="5"/>
  <c r="IO3" i="5"/>
  <c r="IP3" i="5"/>
  <c r="IQ3" i="5"/>
  <c r="IR3" i="5"/>
  <c r="IS3" i="5"/>
  <c r="IT3" i="5"/>
  <c r="IU3" i="5"/>
  <c r="IV3" i="5"/>
  <c r="A2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EZ2" i="5"/>
  <c r="FA2" i="5"/>
  <c r="FB2" i="5"/>
  <c r="FC2" i="5"/>
  <c r="FD2" i="5"/>
  <c r="FE2" i="5"/>
  <c r="FF2" i="5"/>
  <c r="FG2" i="5"/>
  <c r="FH2" i="5"/>
  <c r="FI2" i="5"/>
  <c r="FJ2" i="5"/>
  <c r="FK2" i="5"/>
  <c r="FL2" i="5"/>
  <c r="FM2" i="5"/>
  <c r="FN2" i="5"/>
  <c r="FO2" i="5"/>
  <c r="FP2" i="5"/>
  <c r="FQ2" i="5"/>
  <c r="FR2" i="5"/>
  <c r="FS2" i="5"/>
  <c r="FT2" i="5"/>
  <c r="FU2" i="5"/>
  <c r="FV2" i="5"/>
  <c r="FW2" i="5"/>
  <c r="FX2" i="5"/>
  <c r="FY2" i="5"/>
  <c r="FZ2" i="5"/>
  <c r="GA2" i="5"/>
  <c r="GB2" i="5"/>
  <c r="GC2" i="5"/>
  <c r="GD2" i="5"/>
  <c r="GE2" i="5"/>
  <c r="GF2" i="5"/>
  <c r="GG2" i="5"/>
  <c r="GH2" i="5"/>
  <c r="GI2" i="5"/>
  <c r="GJ2" i="5"/>
  <c r="GK2" i="5"/>
  <c r="GL2" i="5"/>
  <c r="GM2" i="5"/>
  <c r="GN2" i="5"/>
  <c r="GO2" i="5"/>
  <c r="GP2" i="5"/>
  <c r="GQ2" i="5"/>
  <c r="GR2" i="5"/>
  <c r="GS2" i="5"/>
  <c r="GT2" i="5"/>
  <c r="GU2" i="5"/>
  <c r="GV2" i="5"/>
  <c r="GW2" i="5"/>
  <c r="GX2" i="5"/>
  <c r="GY2" i="5"/>
  <c r="GZ2" i="5"/>
  <c r="HA2" i="5"/>
  <c r="HB2" i="5"/>
  <c r="HC2" i="5"/>
  <c r="HD2" i="5"/>
  <c r="HE2" i="5"/>
  <c r="HF2" i="5"/>
  <c r="HG2" i="5"/>
  <c r="HH2" i="5"/>
  <c r="HI2" i="5"/>
  <c r="HJ2" i="5"/>
  <c r="HK2" i="5"/>
  <c r="HL2" i="5"/>
  <c r="HM2" i="5"/>
  <c r="HN2" i="5"/>
  <c r="HO2" i="5"/>
  <c r="HP2" i="5"/>
  <c r="HQ2" i="5"/>
  <c r="HR2" i="5"/>
  <c r="HS2" i="5"/>
  <c r="HT2" i="5"/>
  <c r="HU2" i="5"/>
  <c r="HV2" i="5"/>
  <c r="HW2" i="5"/>
  <c r="HX2" i="5"/>
  <c r="HY2" i="5"/>
  <c r="HZ2" i="5"/>
  <c r="IA2" i="5"/>
  <c r="IB2" i="5"/>
  <c r="IC2" i="5"/>
  <c r="ID2" i="5"/>
  <c r="IE2" i="5"/>
  <c r="IF2" i="5"/>
  <c r="IG2" i="5"/>
  <c r="IH2" i="5"/>
  <c r="II2" i="5"/>
  <c r="IJ2" i="5"/>
  <c r="IK2" i="5"/>
  <c r="IL2" i="5"/>
  <c r="IM2" i="5"/>
  <c r="IN2" i="5"/>
  <c r="IO2" i="5"/>
  <c r="IP2" i="5"/>
  <c r="IQ2" i="5"/>
  <c r="IR2" i="5"/>
  <c r="IS2" i="5"/>
  <c r="IT2" i="5"/>
  <c r="IU2" i="5"/>
  <c r="IV2" i="5"/>
  <c r="A1" i="5"/>
  <c r="B1" i="5"/>
  <c r="C1" i="5"/>
  <c r="D1" i="5"/>
  <c r="E1" i="5"/>
  <c r="F1" i="5"/>
  <c r="G1" i="5"/>
  <c r="H1" i="5"/>
  <c r="I1" i="5"/>
  <c r="J1" i="5"/>
  <c r="K1" i="5"/>
  <c r="L1" i="5"/>
  <c r="M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BP1" i="5"/>
  <c r="BQ1" i="5"/>
  <c r="BR1" i="5"/>
  <c r="BS1" i="5"/>
  <c r="BT1" i="5"/>
  <c r="BU1" i="5"/>
  <c r="BV1" i="5"/>
  <c r="BW1" i="5"/>
  <c r="BX1" i="5"/>
  <c r="BY1" i="5"/>
  <c r="BZ1" i="5"/>
  <c r="CA1" i="5"/>
  <c r="CB1" i="5"/>
  <c r="CC1" i="5"/>
  <c r="CD1" i="5"/>
  <c r="CE1" i="5"/>
  <c r="CF1" i="5"/>
  <c r="CG1" i="5"/>
  <c r="CH1" i="5"/>
  <c r="CI1" i="5"/>
  <c r="CJ1" i="5"/>
  <c r="CK1" i="5"/>
  <c r="CL1" i="5"/>
  <c r="CM1" i="5"/>
  <c r="CN1" i="5"/>
  <c r="CO1" i="5"/>
  <c r="CP1" i="5"/>
  <c r="CQ1" i="5"/>
  <c r="CR1" i="5"/>
  <c r="CS1" i="5"/>
  <c r="CT1" i="5"/>
  <c r="CU1" i="5"/>
  <c r="CV1" i="5"/>
  <c r="CW1" i="5"/>
  <c r="CX1" i="5"/>
  <c r="CY1" i="5"/>
  <c r="CZ1" i="5"/>
  <c r="DA1" i="5"/>
  <c r="DB1" i="5"/>
  <c r="DC1" i="5"/>
  <c r="DD1" i="5"/>
  <c r="DE1" i="5"/>
  <c r="DF1" i="5"/>
  <c r="DG1" i="5"/>
  <c r="DH1" i="5"/>
  <c r="DI1" i="5"/>
  <c r="DJ1" i="5"/>
  <c r="DK1" i="5"/>
  <c r="DL1" i="5"/>
  <c r="DM1" i="5"/>
  <c r="DN1" i="5"/>
  <c r="DO1" i="5"/>
  <c r="DP1" i="5"/>
  <c r="DQ1" i="5"/>
  <c r="DR1" i="5"/>
  <c r="DS1" i="5"/>
  <c r="DT1" i="5"/>
  <c r="DU1" i="5"/>
  <c r="DV1" i="5"/>
  <c r="DW1" i="5"/>
  <c r="DX1" i="5"/>
  <c r="DY1" i="5"/>
  <c r="DZ1" i="5"/>
  <c r="EA1" i="5"/>
  <c r="EB1" i="5"/>
  <c r="EC1" i="5"/>
  <c r="ED1" i="5"/>
  <c r="EE1" i="5"/>
  <c r="EF1" i="5"/>
  <c r="EG1" i="5"/>
  <c r="EH1" i="5"/>
  <c r="EI1" i="5"/>
  <c r="EJ1" i="5"/>
  <c r="EK1" i="5"/>
  <c r="EL1" i="5"/>
  <c r="EM1" i="5"/>
  <c r="EN1" i="5"/>
  <c r="EO1" i="5"/>
  <c r="EP1" i="5"/>
  <c r="EQ1" i="5"/>
  <c r="ER1" i="5"/>
  <c r="ES1" i="5"/>
  <c r="ET1" i="5"/>
  <c r="EU1" i="5"/>
  <c r="EV1" i="5"/>
  <c r="EW1" i="5"/>
  <c r="EX1" i="5"/>
  <c r="EY1" i="5"/>
  <c r="EZ1" i="5"/>
  <c r="FA1" i="5"/>
  <c r="FB1" i="5"/>
  <c r="FC1" i="5"/>
  <c r="FD1" i="5"/>
  <c r="FE1" i="5"/>
  <c r="FF1" i="5"/>
  <c r="FG1" i="5"/>
  <c r="FH1" i="5"/>
  <c r="FI1" i="5"/>
  <c r="FJ1" i="5"/>
  <c r="FK1" i="5"/>
  <c r="FL1" i="5"/>
  <c r="FM1" i="5"/>
  <c r="FN1" i="5"/>
  <c r="FO1" i="5"/>
  <c r="FP1" i="5"/>
  <c r="FQ1" i="5"/>
  <c r="FR1" i="5"/>
  <c r="FS1" i="5"/>
  <c r="FT1" i="5"/>
  <c r="FU1" i="5"/>
  <c r="FV1" i="5"/>
  <c r="FW1" i="5"/>
  <c r="FX1" i="5"/>
  <c r="FY1" i="5"/>
  <c r="FZ1" i="5"/>
  <c r="GA1" i="5"/>
  <c r="GB1" i="5"/>
  <c r="GC1" i="5"/>
  <c r="GD1" i="5"/>
  <c r="GE1" i="5"/>
  <c r="GF1" i="5"/>
  <c r="GG1" i="5"/>
  <c r="GH1" i="5"/>
  <c r="GI1" i="5"/>
  <c r="GJ1" i="5"/>
  <c r="GK1" i="5"/>
  <c r="GL1" i="5"/>
  <c r="GM1" i="5"/>
  <c r="GN1" i="5"/>
  <c r="GO1" i="5"/>
  <c r="GP1" i="5"/>
  <c r="GQ1" i="5"/>
  <c r="GR1" i="5"/>
  <c r="GS1" i="5"/>
  <c r="GT1" i="5"/>
  <c r="GU1" i="5"/>
  <c r="GV1" i="5"/>
  <c r="GW1" i="5"/>
  <c r="GX1" i="5"/>
  <c r="GY1" i="5"/>
  <c r="GZ1" i="5"/>
  <c r="HA1" i="5"/>
  <c r="HB1" i="5"/>
  <c r="HC1" i="5"/>
  <c r="HD1" i="5"/>
  <c r="HE1" i="5"/>
  <c r="HF1" i="5"/>
  <c r="HG1" i="5"/>
  <c r="HH1" i="5"/>
  <c r="HI1" i="5"/>
  <c r="HJ1" i="5"/>
  <c r="HK1" i="5"/>
  <c r="HL1" i="5"/>
  <c r="HM1" i="5"/>
  <c r="HN1" i="5"/>
  <c r="HO1" i="5"/>
  <c r="HP1" i="5"/>
  <c r="HQ1" i="5"/>
  <c r="HR1" i="5"/>
  <c r="HS1" i="5"/>
  <c r="HT1" i="5"/>
  <c r="HU1" i="5"/>
  <c r="HV1" i="5"/>
  <c r="HW1" i="5"/>
  <c r="HX1" i="5"/>
  <c r="HY1" i="5"/>
  <c r="HZ1" i="5"/>
  <c r="IA1" i="5"/>
  <c r="IB1" i="5"/>
  <c r="IC1" i="5"/>
  <c r="ID1" i="5"/>
  <c r="IE1" i="5"/>
  <c r="IF1" i="5"/>
  <c r="IG1" i="5"/>
  <c r="IH1" i="5"/>
  <c r="II1" i="5"/>
  <c r="IJ1" i="5"/>
  <c r="IK1" i="5"/>
  <c r="IL1" i="5"/>
  <c r="IM1" i="5"/>
  <c r="IN1" i="5"/>
  <c r="IO1" i="5"/>
  <c r="IP1" i="5"/>
  <c r="IQ1" i="5"/>
  <c r="IR1" i="5"/>
  <c r="IS1" i="5"/>
  <c r="IT1" i="5"/>
  <c r="IU1" i="5"/>
  <c r="IV1" i="5"/>
  <c r="CW12" i="5"/>
  <c r="CR12" i="5"/>
  <c r="CQ12" i="5"/>
  <c r="DG12" i="5"/>
  <c r="CU12" i="5"/>
  <c r="CT12" i="5"/>
  <c r="CM12" i="5"/>
  <c r="CS12" i="5"/>
  <c r="CN12" i="5"/>
  <c r="DE12" i="5"/>
  <c r="CL12" i="5"/>
  <c r="DF12" i="5"/>
  <c r="CO12" i="5"/>
  <c r="CP12" i="5"/>
  <c r="AR2" i="5" l="1"/>
  <c r="AS19" i="5"/>
</calcChain>
</file>

<file path=xl/comments1.xml><?xml version="1.0" encoding="utf-8"?>
<comments xmlns="http://schemas.openxmlformats.org/spreadsheetml/2006/main">
  <authors>
    <author>ukyang</author>
  </authors>
  <commentList>
    <comment ref="AE3" authorId="0" shapeId="0">
      <text>
        <r>
          <rPr>
            <sz val="9"/>
            <color indexed="81"/>
            <rFont val="돋움"/>
            <family val="3"/>
            <charset val="129"/>
          </rPr>
          <t>절반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각도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<sst xmlns="http://schemas.openxmlformats.org/spreadsheetml/2006/main" count="606" uniqueCount="360">
  <si>
    <t>DB_OUTPUT</t>
  </si>
  <si>
    <t>DB_RECORD_ROW</t>
  </si>
  <si>
    <t>DB_ID_COL</t>
  </si>
  <si>
    <t>AAAAAF/+6eI=</t>
  </si>
  <si>
    <t>DB_SOURCE</t>
    <phoneticPr fontId="17" type="noConversion"/>
  </si>
  <si>
    <t>Database,A1</t>
    <phoneticPr fontId="17" type="noConversion"/>
  </si>
  <si>
    <t>DB_ENUM_ROW</t>
    <phoneticPr fontId="17" type="noConversion"/>
  </si>
  <si>
    <t>DB_FIELD_ROW</t>
    <phoneticPr fontId="17" type="noConversion"/>
  </si>
  <si>
    <t>I</t>
    <phoneticPr fontId="17" type="noConversion"/>
  </si>
  <si>
    <t>T</t>
    <phoneticPr fontId="17" type="noConversion"/>
  </si>
  <si>
    <t>DB_OUTPUT_BIN</t>
    <phoneticPr fontId="17" type="noConversion"/>
  </si>
  <si>
    <t>id</t>
    <phoneticPr fontId="36" type="noConversion"/>
  </si>
  <si>
    <t>name</t>
    <phoneticPr fontId="36" type="noConversion"/>
  </si>
  <si>
    <t>[Client]</t>
    <phoneticPr fontId="17" type="noConversion"/>
  </si>
  <si>
    <t>nameKor</t>
    <phoneticPr fontId="36" type="noConversion"/>
  </si>
  <si>
    <t>None</t>
    <phoneticPr fontId="36" type="noConversion"/>
  </si>
  <si>
    <t>-</t>
    <phoneticPr fontId="36" type="noConversion"/>
  </si>
  <si>
    <t>WeaponDB</t>
    <phoneticPr fontId="17" type="noConversion"/>
  </si>
  <si>
    <t>사거리</t>
    <phoneticPr fontId="17" type="noConversion"/>
  </si>
  <si>
    <t>WeaponType</t>
    <phoneticPr fontId="17" type="noConversion"/>
  </si>
  <si>
    <t>ReloadTime</t>
    <phoneticPr fontId="17" type="noConversion"/>
  </si>
  <si>
    <t>WeaponType</t>
    <phoneticPr fontId="36" type="noConversion"/>
  </si>
  <si>
    <t>Melee</t>
    <phoneticPr fontId="36" type="noConversion"/>
  </si>
  <si>
    <t>이름</t>
    <phoneticPr fontId="36" type="noConversion"/>
  </si>
  <si>
    <t>설명</t>
    <phoneticPr fontId="36" type="noConversion"/>
  </si>
  <si>
    <t>Id</t>
  </si>
  <si>
    <t>WeaponName</t>
  </si>
  <si>
    <t>WeaponType</t>
  </si>
  <si>
    <t>WeaponPrice</t>
  </si>
  <si>
    <t>BasicAmmo</t>
  </si>
  <si>
    <t>SpareAmmo</t>
  </si>
  <si>
    <t>ReloadTime</t>
  </si>
  <si>
    <t>EquipChangeTime</t>
  </si>
  <si>
    <t>Rate</t>
  </si>
  <si>
    <t>DistanceDmgIndex</t>
  </si>
  <si>
    <t>Distance</t>
  </si>
  <si>
    <t>CrosshairIndex</t>
  </si>
  <si>
    <t>Weight</t>
  </si>
  <si>
    <t>ScopeButtonPrint</t>
  </si>
  <si>
    <t>WeaponImage</t>
  </si>
  <si>
    <t>WeaponModel</t>
  </si>
  <si>
    <t>Weapon_Table의 유니크 키입니다. 중복 사용이 불가능합니다.
해당 테이블은 총의 정보를 기재하는 테이블입니다.
Weapon_Table은 1000~1999 영역을 사용합니다.</t>
    <phoneticPr fontId="36" type="noConversion"/>
  </si>
  <si>
    <t>무기 이름을 기재하는 컬럼입니다.</t>
    <phoneticPr fontId="36" type="noConversion"/>
  </si>
  <si>
    <t>무기 타입을 분류하는 컬럼입니다.
무기 타입은 5가지 타입으로 분류됩니다. (0 : Main, 1: Sub, 2 : Melee, 3 : Grenades, 4 : Gear)
Main 타입으로 분류된 무기는 하나만 소지할 수 있으며, Main 타입으로 분류된 무기를 구매하는 경우 해당 무기를 드롭하고 교체합니다.
Sub 타입 또한, 서브로 분류된 무기 하나만 소지할 수 있으며, Sub 무기 타입으로 분류된 무기를 구매하는 경우 해당 무기를 드롭하고 교체합니다.
Melee, Grenades, Gear로 분류된 장비는 각각 하나씩 소지할 수 있으며 여러 개를 구매할 수 있습니다.</t>
    <phoneticPr fontId="36" type="noConversion"/>
  </si>
  <si>
    <t>무기 가격을 기재하는 컬럼입니다.
0을 입력하는 경우 무료로 사용할 수 있습니다.</t>
    <phoneticPr fontId="36" type="noConversion"/>
  </si>
  <si>
    <t>총의 기본 탄약 수를 기재하는 컬럼입니다.</t>
    <phoneticPr fontId="36" type="noConversion"/>
  </si>
  <si>
    <t xml:space="preserve">총의 전체 탄약 수를 기재하는 컬럼입니다. (Ex. AK-47은 기본 탄약 30발에 예비 탄약 120발) </t>
    <phoneticPr fontId="36" type="noConversion"/>
  </si>
  <si>
    <t>연사력 (RPM)을 기재하는 컬럼입니다.
RPM은 분당 발사 하는 시간을 나타내며, 한 발을 발사하고 다음 발을 발사할 때 까지 걸리는 시간을 의미합니다.
RPM의 공식은 60/발사 간격(초)입니다.
1초 = 1000으로 설정합니다. (Ex. AK-47의 연사력 100 → 0.1/60 = 600 RPM 이므로, 분당 600발 사격)</t>
    <phoneticPr fontId="36" type="noConversion"/>
  </si>
  <si>
    <t>DistanceDmg_Table의 Index를 참조하여 사용되는 컬럼입니다. 무기 별 거리마다 데미지 수치를 다르게 설정합니다.</t>
    <phoneticPr fontId="36" type="noConversion"/>
  </si>
  <si>
    <t>Crosshair_Table의 Index를 참조하여 사용되는 컬럼입니다.
이 컬럼은 크로스헤어를 제어하기 위한 컬럼으로 상세 수치는 CrossHair_Table을 참조합니다.</t>
    <phoneticPr fontId="36" type="noConversion"/>
  </si>
  <si>
    <t>총의 무게를 기재하는 컬럼입니다.
무게에 따라 캐릭터의 이동속도 감소합니다. 1 = 1000로 설정합니다.</t>
    <phoneticPr fontId="36" type="noConversion"/>
  </si>
  <si>
    <t>조준 버튼 활성화를 기재하는 컬럼입니다. 
조준 버튼은 스나이퍼 무기만 출력되며, True인 경우 조준 버튼을 활성화합니다. 조준 고정 배율은 Const_Table의 수치를 참조합니다.</t>
    <phoneticPr fontId="36" type="noConversion"/>
  </si>
  <si>
    <t>Weapon_Table 컬럼 설명</t>
    <phoneticPr fontId="36" type="noConversion"/>
  </si>
  <si>
    <t>재장전 시간을 기재하는 컬럼입니다. 
(1초 = 1000으로 설정합니다.)</t>
    <phoneticPr fontId="36" type="noConversion"/>
  </si>
  <si>
    <t>장비 교체 시간을 기재하는 컬럼입니다.
(1초 = 1000으로 설정합니다.)</t>
    <phoneticPr fontId="36" type="noConversion"/>
  </si>
  <si>
    <t>총의 사거리를 기재하는 컬럼입니다.
{1 = 1000로 설정합니다. (Ex. AK-47의 사거리는 7000 → 70m)}</t>
    <phoneticPr fontId="36" type="noConversion"/>
  </si>
  <si>
    <t>WeaponSlotType</t>
    <phoneticPr fontId="36" type="noConversion"/>
  </si>
  <si>
    <t>Grenade</t>
    <phoneticPr fontId="36" type="noConversion"/>
  </si>
  <si>
    <t>MainGun</t>
    <phoneticPr fontId="36" type="noConversion"/>
  </si>
  <si>
    <t>SideGun</t>
    <phoneticPr fontId="36" type="noConversion"/>
  </si>
  <si>
    <t>Pistol</t>
    <phoneticPr fontId="36" type="noConversion"/>
  </si>
  <si>
    <t>권총</t>
  </si>
  <si>
    <t>권총</t>
    <phoneticPr fontId="36" type="noConversion"/>
  </si>
  <si>
    <t>HeavyWeapon</t>
    <phoneticPr fontId="36" type="noConversion"/>
  </si>
  <si>
    <t>중화기</t>
  </si>
  <si>
    <t>중화기</t>
    <phoneticPr fontId="36" type="noConversion"/>
  </si>
  <si>
    <t>SMG</t>
    <phoneticPr fontId="36" type="noConversion"/>
  </si>
  <si>
    <t>Rifle</t>
    <phoneticPr fontId="36" type="noConversion"/>
  </si>
  <si>
    <t>소총</t>
  </si>
  <si>
    <t>소총</t>
    <phoneticPr fontId="36" type="noConversion"/>
  </si>
  <si>
    <t>Sniper</t>
    <phoneticPr fontId="36" type="noConversion"/>
  </si>
  <si>
    <t>저격소총</t>
  </si>
  <si>
    <t>저격소총</t>
    <phoneticPr fontId="36" type="noConversion"/>
  </si>
  <si>
    <t>Name</t>
  </si>
  <si>
    <t>Name</t>
    <phoneticPr fontId="17" type="noConversion"/>
  </si>
  <si>
    <t>No</t>
  </si>
  <si>
    <t>No</t>
    <phoneticPr fontId="17" type="noConversion"/>
  </si>
  <si>
    <t>동작 특성에 따른 구분</t>
    <phoneticPr fontId="36" type="noConversion"/>
  </si>
  <si>
    <t>무기 형태에 따른 구분</t>
    <phoneticPr fontId="36" type="noConversion"/>
  </si>
  <si>
    <t>Machinegun</t>
    <phoneticPr fontId="36" type="noConversion"/>
  </si>
  <si>
    <t>Burst</t>
    <phoneticPr fontId="36" type="noConversion"/>
  </si>
  <si>
    <t>Knife</t>
    <phoneticPr fontId="36" type="noConversion"/>
  </si>
  <si>
    <t>Launcher</t>
    <phoneticPr fontId="36" type="noConversion"/>
  </si>
  <si>
    <t>Shotgun</t>
    <phoneticPr fontId="36" type="noConversion"/>
  </si>
  <si>
    <t>ID</t>
    <phoneticPr fontId="17" type="noConversion"/>
  </si>
  <si>
    <t>이름</t>
    <phoneticPr fontId="17" type="noConversion"/>
  </si>
  <si>
    <t>리소스 설정 에셋</t>
    <phoneticPr fontId="17" type="noConversion"/>
  </si>
  <si>
    <t>슬롯</t>
    <phoneticPr fontId="17" type="noConversion"/>
  </si>
  <si>
    <t>유형</t>
    <phoneticPr fontId="17" type="noConversion"/>
  </si>
  <si>
    <t>SlotType</t>
  </si>
  <si>
    <t>SlotType</t>
    <phoneticPr fontId="17" type="noConversion"/>
  </si>
  <si>
    <t>AmmoPerClip</t>
  </si>
  <si>
    <t>AmmoPerClip</t>
    <phoneticPr fontId="17" type="noConversion"/>
  </si>
  <si>
    <t>기본 탄약 수</t>
    <phoneticPr fontId="17" type="noConversion"/>
  </si>
  <si>
    <t>최대 탄약 수</t>
    <phoneticPr fontId="17" type="noConversion"/>
  </si>
  <si>
    <t>FireRate</t>
  </si>
  <si>
    <t>FireRate</t>
    <phoneticPr fontId="17" type="noConversion"/>
  </si>
  <si>
    <t>데미지</t>
    <phoneticPr fontId="17" type="noConversion"/>
  </si>
  <si>
    <t>Damage</t>
  </si>
  <si>
    <t>Damage</t>
    <phoneticPr fontId="17" type="noConversion"/>
  </si>
  <si>
    <t>Range</t>
  </si>
  <si>
    <t>Range</t>
    <phoneticPr fontId="17" type="noConversion"/>
  </si>
  <si>
    <t>ResSettings</t>
  </si>
  <si>
    <t>ResSettings</t>
    <phoneticPr fontId="17" type="noConversion"/>
  </si>
  <si>
    <t>$CLIENT/Weapon.cdb.bytes</t>
    <phoneticPr fontId="17" type="noConversion"/>
  </si>
  <si>
    <t>$CLIENT/Weapon.json</t>
    <phoneticPr fontId="17" type="noConversion"/>
  </si>
  <si>
    <t>WeaponSlotType</t>
    <phoneticPr fontId="17" type="noConversion"/>
  </si>
  <si>
    <t>R</t>
    <phoneticPr fontId="17" type="noConversion"/>
  </si>
  <si>
    <t>근접 무기</t>
  </si>
  <si>
    <t>근접 무기</t>
    <phoneticPr fontId="36" type="noConversion"/>
  </si>
  <si>
    <t>투척 무기</t>
  </si>
  <si>
    <t>투척 무기</t>
    <phoneticPr fontId="36" type="noConversion"/>
  </si>
  <si>
    <t>GunType</t>
    <phoneticPr fontId="36" type="noConversion"/>
  </si>
  <si>
    <t>GunType</t>
    <phoneticPr fontId="17" type="noConversion"/>
  </si>
  <si>
    <t>총기특성</t>
    <phoneticPr fontId="17" type="noConversion"/>
  </si>
  <si>
    <t>기본 탄창</t>
    <phoneticPr fontId="17" type="noConversion"/>
  </si>
  <si>
    <t>Clips</t>
    <phoneticPr fontId="17" type="noConversion"/>
  </si>
  <si>
    <t>최대 탄창</t>
    <phoneticPr fontId="17" type="noConversion"/>
  </si>
  <si>
    <t>MaxClips</t>
    <phoneticPr fontId="17" type="noConversion"/>
  </si>
  <si>
    <t>샷건</t>
    <phoneticPr fontId="36" type="noConversion"/>
  </si>
  <si>
    <t>스나이퍼</t>
    <phoneticPr fontId="36" type="noConversion"/>
  </si>
  <si>
    <t>런쳐</t>
    <phoneticPr fontId="36" type="noConversion"/>
  </si>
  <si>
    <t>머신건(연사)</t>
    <phoneticPr fontId="36" type="noConversion"/>
  </si>
  <si>
    <t>권총(단발)</t>
    <phoneticPr fontId="36" type="noConversion"/>
  </si>
  <si>
    <t>버스트(점사)</t>
    <phoneticPr fontId="36" type="noConversion"/>
  </si>
  <si>
    <t>투척형</t>
    <phoneticPr fontId="36" type="noConversion"/>
  </si>
  <si>
    <t>근접형</t>
    <phoneticPr fontId="36" type="noConversion"/>
  </si>
  <si>
    <t>SMG</t>
  </si>
  <si>
    <t>-</t>
    <phoneticPr fontId="17" type="noConversion"/>
  </si>
  <si>
    <t>기본</t>
    <phoneticPr fontId="17" type="noConversion"/>
  </si>
  <si>
    <t>#1</t>
    <phoneticPr fontId="17" type="noConversion"/>
  </si>
  <si>
    <t>팩번호</t>
    <phoneticPr fontId="17" type="noConversion"/>
  </si>
  <si>
    <t>Knife</t>
  </si>
  <si>
    <t>Launcher</t>
  </si>
  <si>
    <t>Machinegun</t>
  </si>
  <si>
    <t>Grenade</t>
  </si>
  <si>
    <t>#2</t>
    <phoneticPr fontId="17" type="noConversion"/>
  </si>
  <si>
    <t>MK2</t>
    <phoneticPr fontId="17" type="noConversion"/>
  </si>
  <si>
    <t>K98</t>
    <phoneticPr fontId="17" type="noConversion"/>
  </si>
  <si>
    <t>TACTICAL AXE</t>
    <phoneticPr fontId="17" type="noConversion"/>
  </si>
  <si>
    <t>Axe</t>
    <phoneticPr fontId="17" type="noConversion"/>
  </si>
  <si>
    <t>M24</t>
    <phoneticPr fontId="17" type="noConversion"/>
  </si>
  <si>
    <t>MK.3</t>
    <phoneticPr fontId="17" type="noConversion"/>
  </si>
  <si>
    <t>KUKRI</t>
    <phoneticPr fontId="17" type="noConversion"/>
  </si>
  <si>
    <t>PKM</t>
    <phoneticPr fontId="17" type="noConversion"/>
  </si>
  <si>
    <t>M26</t>
    <phoneticPr fontId="17" type="noConversion"/>
  </si>
  <si>
    <t>M4A1</t>
    <phoneticPr fontId="17" type="noConversion"/>
  </si>
  <si>
    <t>M24-Custom</t>
    <phoneticPr fontId="17" type="noConversion"/>
  </si>
  <si>
    <t>AK-74</t>
    <phoneticPr fontId="17" type="noConversion"/>
  </si>
  <si>
    <t>BAYONET</t>
    <phoneticPr fontId="17" type="noConversion"/>
  </si>
  <si>
    <t>Sniper</t>
  </si>
  <si>
    <t>SpreadWalkMultiply</t>
    <phoneticPr fontId="17" type="noConversion"/>
  </si>
  <si>
    <t>SpreadRunMultiply</t>
    <phoneticPr fontId="17" type="noConversion"/>
  </si>
  <si>
    <t>SpreadMaxAngle</t>
    <phoneticPr fontId="36" type="noConversion"/>
  </si>
  <si>
    <t>SpreadWalkMultiply</t>
    <phoneticPr fontId="36" type="noConversion"/>
  </si>
  <si>
    <t>SpreadRunMultiply</t>
    <phoneticPr fontId="36" type="noConversion"/>
  </si>
  <si>
    <t>SpreadZoomMultiply</t>
    <phoneticPr fontId="36" type="noConversion"/>
  </si>
  <si>
    <t>SpreadAngleNoZoomSniper</t>
    <phoneticPr fontId="36" type="noConversion"/>
  </si>
  <si>
    <t>탄퍼짐 (최대)각도</t>
    <phoneticPr fontId="36" type="noConversion"/>
  </si>
  <si>
    <t>걸어가는 경우 (속도 기준) 탄퍼짐에 대한 보정 배수 ( SpreadMaxAngle * SpreadWalkMultiply)</t>
    <phoneticPr fontId="36" type="noConversion"/>
  </si>
  <si>
    <t>뛰어가는 경우 (속도 기준) 탄퍼짐에 대한 보정 배수 ( SpreadMaxAngle * SpreadRunMultiply)</t>
    <phoneticPr fontId="36" type="noConversion"/>
  </si>
  <si>
    <t>Sniper 아닌경우, Zoom에서 탄퍼짐 배수</t>
    <phoneticPr fontId="36" type="noConversion"/>
  </si>
  <si>
    <t>Sniper 이면서, Zoom 없을 때 탄퍼짐 배수</t>
    <phoneticPr fontId="36" type="noConversion"/>
  </si>
  <si>
    <t>M320</t>
    <phoneticPr fontId="17" type="noConversion"/>
  </si>
  <si>
    <t>SpreadStandMultiply</t>
    <phoneticPr fontId="36" type="noConversion"/>
  </si>
  <si>
    <t>서있는 경우 탄퍼짐에 대한 보정 배수 ( SpreadMaxAngle * SpreadStandMultiply)</t>
    <phoneticPr fontId="36" type="noConversion"/>
  </si>
  <si>
    <t>Molotov</t>
    <phoneticPr fontId="17" type="noConversion"/>
  </si>
  <si>
    <t>Shotgun</t>
  </si>
  <si>
    <t>걸을 때
탄퍼짐 배수</t>
    <phoneticPr fontId="17" type="noConversion"/>
  </si>
  <si>
    <t>뛸 때
탄퍼짐 배수</t>
    <phoneticPr fontId="17" type="noConversion"/>
  </si>
  <si>
    <t>탄창 당
탄약 수</t>
    <phoneticPr fontId="17" type="noConversion"/>
  </si>
  <si>
    <t>연사속도
(RPM)</t>
    <phoneticPr fontId="17" type="noConversion"/>
  </si>
  <si>
    <t>발사간격
(초)</t>
    <phoneticPr fontId="17" type="noConversion"/>
  </si>
  <si>
    <t>재장전
(초)</t>
    <phoneticPr fontId="17" type="noConversion"/>
  </si>
  <si>
    <t>구매 가격
(Gold)</t>
    <phoneticPr fontId="17" type="noConversion"/>
  </si>
  <si>
    <t>IsOpen</t>
    <phoneticPr fontId="17" type="noConversion"/>
  </si>
  <si>
    <t>로드아웃
공개 여부</t>
    <phoneticPr fontId="17" type="noConversion"/>
  </si>
  <si>
    <t>7일 대여</t>
    <phoneticPr fontId="17" type="noConversion"/>
  </si>
  <si>
    <t>BuyCost</t>
    <phoneticPr fontId="17" type="noConversion"/>
  </si>
  <si>
    <t>1일 대여</t>
    <phoneticPr fontId="17" type="noConversion"/>
  </si>
  <si>
    <t>30일 대여</t>
    <phoneticPr fontId="17" type="noConversion"/>
  </si>
  <si>
    <t>Rent7dCost</t>
    <phoneticPr fontId="17" type="noConversion"/>
  </si>
  <si>
    <t>Rent1dCost</t>
    <phoneticPr fontId="17" type="noConversion"/>
  </si>
  <si>
    <t>Rent30dCost</t>
    <phoneticPr fontId="17" type="noConversion"/>
  </si>
  <si>
    <t>Rent1dCost</t>
    <phoneticPr fontId="17" type="noConversion"/>
  </si>
  <si>
    <t>Rent7dCost</t>
    <phoneticPr fontId="17" type="noConversion"/>
  </si>
  <si>
    <t>Rent30dCost</t>
    <phoneticPr fontId="17" type="noConversion"/>
  </si>
  <si>
    <t>투척무기광고시청
제공수량</t>
    <phoneticPr fontId="17" type="noConversion"/>
  </si>
  <si>
    <t>투척무기
1회구매
수량</t>
    <phoneticPr fontId="17" type="noConversion"/>
  </si>
  <si>
    <t>GrBuyCnt</t>
    <phoneticPr fontId="17" type="noConversion"/>
  </si>
  <si>
    <t>GrAdRewardCnt</t>
    <phoneticPr fontId="17" type="noConversion"/>
  </si>
  <si>
    <t>정렬 키</t>
    <phoneticPr fontId="17" type="noConversion"/>
  </si>
  <si>
    <t>SortKey</t>
    <phoneticPr fontId="17" type="noConversion"/>
  </si>
  <si>
    <t>SortKey</t>
    <phoneticPr fontId="17" type="noConversion"/>
  </si>
  <si>
    <t>SpreadSitMultiply</t>
    <phoneticPr fontId="17" type="noConversion"/>
  </si>
  <si>
    <t>SpreadAngle</t>
    <phoneticPr fontId="17" type="noConversion"/>
  </si>
  <si>
    <t>Rifle-35 2AK-74 (Settings)</t>
    <phoneticPr fontId="17" type="noConversion"/>
  </si>
  <si>
    <t>Rifle-25 M4A1 (Settings)</t>
    <phoneticPr fontId="17" type="noConversion"/>
  </si>
  <si>
    <t>Rifle-36 PKM (Settings)</t>
    <phoneticPr fontId="17" type="noConversion"/>
  </si>
  <si>
    <t>Sniper-5 M24 (Settings)</t>
    <phoneticPr fontId="17" type="noConversion"/>
  </si>
  <si>
    <t>Sniper-29 M24-Custom (Settings)</t>
    <phoneticPr fontId="17" type="noConversion"/>
  </si>
  <si>
    <t>Grenade-4 MK2 (Settings)</t>
    <phoneticPr fontId="17" type="noConversion"/>
  </si>
  <si>
    <t>Launcher-8 M320 (Settings)</t>
    <phoneticPr fontId="17" type="noConversion"/>
  </si>
  <si>
    <t>Grenade-7 Molotov (Settings)</t>
    <phoneticPr fontId="17" type="noConversion"/>
  </si>
  <si>
    <t>Grenade-13 M26 (Settings)</t>
    <phoneticPr fontId="17" type="noConversion"/>
  </si>
  <si>
    <t>M18</t>
    <phoneticPr fontId="17" type="noConversion"/>
  </si>
  <si>
    <t>M84</t>
    <phoneticPr fontId="17" type="noConversion"/>
  </si>
  <si>
    <t>Tactical-38 M18 (Settings)</t>
    <phoneticPr fontId="17" type="noConversion"/>
  </si>
  <si>
    <t>Tactical-39 M84 (Settings)</t>
    <phoneticPr fontId="17" type="noConversion"/>
  </si>
  <si>
    <t>구 리소스 이름
(참고용)</t>
    <phoneticPr fontId="17" type="noConversion"/>
  </si>
  <si>
    <t>-</t>
    <phoneticPr fontId="17" type="noConversion"/>
  </si>
  <si>
    <t>Basic/Rifle</t>
  </si>
  <si>
    <t>Basic/Pistol</t>
  </si>
  <si>
    <t>Basic/Shotgun</t>
  </si>
  <si>
    <t>Basic/Grenade</t>
  </si>
  <si>
    <t>Basic/Sniper</t>
  </si>
  <si>
    <t>Basic/Knife</t>
  </si>
  <si>
    <t>Basic/Molotov</t>
  </si>
  <si>
    <t>Basic/Launcher</t>
  </si>
  <si>
    <t>WP1/Rifle02</t>
  </si>
  <si>
    <t>WP1/Rifle03</t>
  </si>
  <si>
    <t>WP1/Rifle04</t>
  </si>
  <si>
    <t>WP1/Axe</t>
  </si>
  <si>
    <t>WP1/Grenade2</t>
  </si>
  <si>
    <t>WP1/Pistol1</t>
  </si>
  <si>
    <t>WP1/Pistol2</t>
  </si>
  <si>
    <t>WP1/Pistol3</t>
  </si>
  <si>
    <t>WP1/Knife2</t>
  </si>
  <si>
    <t>WP1/ShotGun2</t>
  </si>
  <si>
    <t>WP1/SniperRifle</t>
  </si>
  <si>
    <t>WP1/TommyGun</t>
  </si>
  <si>
    <t>WP1/Axe2</t>
  </si>
  <si>
    <t>WP1/Grenade Gun</t>
  </si>
  <si>
    <t>WP1/Rifle05</t>
  </si>
  <si>
    <t>WP1/SniperRifle2</t>
  </si>
  <si>
    <t>WP2/Rifle6</t>
  </si>
  <si>
    <t>WP2/SMG4</t>
  </si>
  <si>
    <t>WP2/Pistol4</t>
  </si>
  <si>
    <t>WP2/ShotGun4</t>
  </si>
  <si>
    <t>WP2/SniperRifle3</t>
  </si>
  <si>
    <t>WP2/SMG5</t>
  </si>
  <si>
    <t>WP2/Grenade Gun3</t>
  </si>
  <si>
    <t>WP2/Double Barrel</t>
  </si>
  <si>
    <t>WP2/Pistol5</t>
  </si>
  <si>
    <t>WP2/SniperRifle4</t>
  </si>
  <si>
    <t>WP2/Rifle7</t>
  </si>
  <si>
    <t>WP2/LMG</t>
  </si>
  <si>
    <t>WP2/Knife3</t>
  </si>
  <si>
    <t>Basic/SmokeGrenade</t>
  </si>
  <si>
    <t>Basic/FlashGrenade</t>
  </si>
  <si>
    <t>Pistol-14 MK3 (Settings)</t>
    <phoneticPr fontId="17" type="noConversion"/>
  </si>
  <si>
    <t>Melee-17 KUKRI (Settings)</t>
    <phoneticPr fontId="17" type="noConversion"/>
  </si>
  <si>
    <t>Melee-37 BAYONET (Settings)</t>
    <phoneticPr fontId="17" type="noConversion"/>
  </si>
  <si>
    <t>Melee-6 K98 (Settings)</t>
    <phoneticPr fontId="17" type="noConversion"/>
  </si>
  <si>
    <t>Melee-21 Axe (Settings)</t>
    <phoneticPr fontId="17" type="noConversion"/>
  </si>
  <si>
    <t>Melee-12 TACTICAL AXE (Settings)</t>
    <phoneticPr fontId="17" type="noConversion"/>
  </si>
  <si>
    <t>Tactical</t>
  </si>
  <si>
    <t>□□□□■전술슬롯</t>
  </si>
  <si>
    <t>Tactical</t>
    <phoneticPr fontId="36" type="noConversion"/>
  </si>
  <si>
    <t>전술 무기</t>
  </si>
  <si>
    <t>전술 무기</t>
    <phoneticPr fontId="36" type="noConversion"/>
  </si>
  <si>
    <t>■□□□□기본슬롯</t>
  </si>
  <si>
    <t>□■□□□보조슬롯</t>
  </si>
  <si>
    <t>□□■□□근접슬롯</t>
  </si>
  <si>
    <t>□□□■□투척슬롯</t>
  </si>
  <si>
    <t>VQ-12</t>
    <phoneticPr fontId="17" type="noConversion"/>
  </si>
  <si>
    <t>HandItem</t>
  </si>
  <si>
    <t>HandItem</t>
    <phoneticPr fontId="36" type="noConversion"/>
  </si>
  <si>
    <t>핸드 아이템</t>
    <phoneticPr fontId="36" type="noConversion"/>
  </si>
  <si>
    <t>Tactical-40 VQ-12 (Settings)</t>
    <phoneticPr fontId="17" type="noConversion"/>
  </si>
  <si>
    <t>WeaponTacticalType</t>
    <phoneticPr fontId="36" type="noConversion"/>
  </si>
  <si>
    <t>-</t>
  </si>
  <si>
    <t>Smoke</t>
    <phoneticPr fontId="36" type="noConversion"/>
  </si>
  <si>
    <t>연막탄</t>
  </si>
  <si>
    <t>연막탄</t>
    <phoneticPr fontId="36" type="noConversion"/>
  </si>
  <si>
    <t>Flash</t>
    <phoneticPr fontId="36" type="noConversion"/>
  </si>
  <si>
    <t>섬광탄</t>
  </si>
  <si>
    <t>섬광탄</t>
    <phoneticPr fontId="36" type="noConversion"/>
  </si>
  <si>
    <t>UAV</t>
  </si>
  <si>
    <t>UAV</t>
    <phoneticPr fontId="36" type="noConversion"/>
  </si>
  <si>
    <t>전술 유형</t>
    <phoneticPr fontId="17" type="noConversion"/>
  </si>
  <si>
    <t>TacticalType</t>
    <phoneticPr fontId="17" type="noConversion"/>
  </si>
  <si>
    <t>WeaponTacticalType</t>
    <phoneticPr fontId="17" type="noConversion"/>
  </si>
  <si>
    <t>TacticalType</t>
    <phoneticPr fontId="17" type="noConversion"/>
  </si>
  <si>
    <t>SMG-5R</t>
    <phoneticPr fontId="66" type="noConversion"/>
  </si>
  <si>
    <t>GLK-17X</t>
    <phoneticPr fontId="66" type="noConversion"/>
  </si>
  <si>
    <t>RMC-870</t>
    <phoneticPr fontId="66" type="noConversion"/>
  </si>
  <si>
    <t>SMG-1 SMG-5R (Settings)</t>
    <phoneticPr fontId="17" type="noConversion"/>
  </si>
  <si>
    <t>Pistol-2 GLK-17X (Settings)</t>
    <phoneticPr fontId="17" type="noConversion"/>
  </si>
  <si>
    <t>Shotgun-3 RMC-870 (Settings)</t>
    <phoneticPr fontId="17" type="noConversion"/>
  </si>
  <si>
    <t>SCA-R5</t>
  </si>
  <si>
    <t>S2-V1A</t>
  </si>
  <si>
    <t>SMG-5KX</t>
  </si>
  <si>
    <t>Rifle-9 SCA-R5 (Settings)</t>
  </si>
  <si>
    <t>Rifle-10 S2-V1A (Settings)</t>
  </si>
  <si>
    <t>SMG-11 SMG-5KX (Settings)</t>
  </si>
  <si>
    <t>PP-R9</t>
  </si>
  <si>
    <t>TR-444X</t>
  </si>
  <si>
    <t>Pistol-15 PP-R9 (Settings)</t>
  </si>
  <si>
    <t>Pistol-16 TR-444X (Settings)</t>
  </si>
  <si>
    <t>TSG-14</t>
  </si>
  <si>
    <t>AX-50S</t>
  </si>
  <si>
    <t>U-Pro</t>
  </si>
  <si>
    <t>Shotgun-18 TSG-14 (Settings)</t>
  </si>
  <si>
    <t>Sniper-19 AX-50S (Settings)</t>
  </si>
  <si>
    <t>SMG-20 U-Pro (Settings)</t>
  </si>
  <si>
    <t>M32</t>
  </si>
  <si>
    <t>DR-28H</t>
  </si>
  <si>
    <t>AW-X7</t>
  </si>
  <si>
    <t>Launcher-22 M32 (Settings)</t>
  </si>
  <si>
    <t>Rifle-23 DR-28H (Settings)</t>
  </si>
  <si>
    <t>Sniper-24 AW-X7 (Settings)</t>
  </si>
  <si>
    <t>KX-9</t>
  </si>
  <si>
    <t>GLK-18X</t>
  </si>
  <si>
    <t>SPZ-12</t>
  </si>
  <si>
    <t>SMG-26 KX-9 (Settings)</t>
  </si>
  <si>
    <t>Pistol-27 GLK-18X (Settings)</t>
  </si>
  <si>
    <t>Shotgun-28 SPZ-12 (Settings)</t>
  </si>
  <si>
    <t>UMR-9</t>
  </si>
  <si>
    <t>Mk1A</t>
  </si>
  <si>
    <t>MG429</t>
  </si>
  <si>
    <t>RHO-44</t>
  </si>
  <si>
    <t>HT-X50</t>
  </si>
  <si>
    <t>SMG-30 UMR-9 (Settings)</t>
  </si>
  <si>
    <t>Launcher-22 Mk1A (Settings)</t>
  </si>
  <si>
    <t>Shotgun-32 MG429 (Settings)</t>
  </si>
  <si>
    <t>Pistol-33 RHO-44 (Settings)</t>
  </si>
  <si>
    <t>Sniper-34 HT-X50 (Settings)</t>
  </si>
  <si>
    <t>SpreadAngleZoom</t>
    <phoneticPr fontId="17" type="noConversion"/>
  </si>
  <si>
    <t>정확도 100%인 경우 탄퍼짐 기준 각도</t>
    <phoneticPr fontId="36" type="noConversion"/>
  </si>
  <si>
    <t>RefAngle</t>
    <phoneticPr fontId="36" type="noConversion"/>
  </si>
  <si>
    <t>SniperRefAngle</t>
    <phoneticPr fontId="36" type="noConversion"/>
  </si>
  <si>
    <t>일반 총기 기준 각도</t>
    <phoneticPr fontId="36" type="noConversion"/>
  </si>
  <si>
    <t>저격종 기준 각도 (Zoom 상태의 각도가 적용됨)</t>
    <phoneticPr fontId="36" type="noConversion"/>
  </si>
  <si>
    <t>■탄퍼짐 각도에 따라 탄착군 면적은 근사적으로 제곱에 비례한다.</t>
    <phoneticPr fontId="36" type="noConversion"/>
  </si>
  <si>
    <t>■ExpFactor는 이론상 제곱이나, 탄착군이 중앙에 몰리는 경향이 있다면 2보다 약간 작을 수 있다.</t>
    <phoneticPr fontId="36" type="noConversion"/>
  </si>
  <si>
    <r>
      <t>■산탄총의 경우: n개의 총알에 대해 전체 명중 확률 = 1 - (1 - p)</t>
    </r>
    <r>
      <rPr>
        <vertAlign val="superscript"/>
        <sz val="12"/>
        <color theme="1"/>
        <rFont val="맑은 고딕"/>
        <family val="3"/>
        <charset val="129"/>
        <scheme val="minor"/>
      </rPr>
      <t>n</t>
    </r>
    <r>
      <rPr>
        <sz val="11"/>
        <color theme="1"/>
        <rFont val="맑은 고딕"/>
        <family val="3"/>
        <charset val="129"/>
        <scheme val="minor"/>
      </rPr>
      <t xml:space="preserve"> 즉, 탄 1발 명중 확률 = 20%이면 8발에 대해 1 - (1 - 0.2)</t>
    </r>
    <r>
      <rPr>
        <vertAlign val="superscript"/>
        <sz val="11"/>
        <color theme="1"/>
        <rFont val="맑은 고딕"/>
        <family val="3"/>
        <charset val="129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 xml:space="preserve"> = 83%</t>
    </r>
    <phoneticPr fontId="36" type="noConversion"/>
  </si>
  <si>
    <t>산탄총
총알 수</t>
    <phoneticPr fontId="17" type="noConversion"/>
  </si>
  <si>
    <t>명중률2
샷건 적용</t>
    <phoneticPr fontId="17" type="noConversion"/>
  </si>
  <si>
    <t>명중률1</t>
    <phoneticPr fontId="17" type="noConversion"/>
  </si>
  <si>
    <t>초당 명중률</t>
    <phoneticPr fontId="17" type="noConversion"/>
  </si>
  <si>
    <t>-</t>
    <phoneticPr fontId="17" type="noConversion"/>
  </si>
  <si>
    <r>
      <t xml:space="preserve">■Database시트의 '확인용' 필드값을 위해 위 RefAngle, SniperRefAngle, ExpFactor을 적절히 조절해 볼것 (결정된 값은 Misc DB의 </t>
    </r>
    <r>
      <rPr>
        <b/>
        <sz val="11"/>
        <color theme="1"/>
        <rFont val="맑은 고딕"/>
        <family val="3"/>
        <charset val="129"/>
        <scheme val="minor"/>
      </rPr>
      <t>GunAccuracyFactors</t>
    </r>
    <r>
      <rPr>
        <sz val="11"/>
        <color theme="1"/>
        <rFont val="맑은 고딕"/>
        <family val="3"/>
        <charset val="129"/>
        <scheme val="minor"/>
      </rPr>
      <t>값에 반영할 것)</t>
    </r>
    <phoneticPr fontId="36" type="noConversion"/>
  </si>
  <si>
    <t>SpreadAngleZoom</t>
    <phoneticPr fontId="17" type="noConversion"/>
  </si>
  <si>
    <t>탄퍼짐 기준값
(서있을 떄)</t>
    <phoneticPr fontId="17" type="noConversion"/>
  </si>
  <si>
    <t>줌 모드에서
탄퍼짐 기준값
(서있을 때)</t>
    <phoneticPr fontId="17" type="noConversion"/>
  </si>
  <si>
    <t>앉은 상태
탄퍼짐 배수</t>
    <phoneticPr fontId="17" type="noConversion"/>
  </si>
  <si>
    <t>Molotov</t>
    <phoneticPr fontId="36" type="noConversion"/>
  </si>
  <si>
    <t>화염병류</t>
  </si>
  <si>
    <t>화염병류</t>
    <phoneticPr fontId="36" type="noConversion"/>
  </si>
  <si>
    <t>수류탄류</t>
  </si>
  <si>
    <t>수류탄류</t>
    <phoneticPr fontId="36" type="noConversion"/>
  </si>
  <si>
    <t>피해 반경</t>
    <phoneticPr fontId="17" type="noConversion"/>
  </si>
  <si>
    <t>DamageRadius</t>
    <phoneticPr fontId="17" type="noConversion"/>
  </si>
  <si>
    <t>DamageRadius</t>
    <phoneticPr fontId="17" type="noConversion"/>
  </si>
  <si>
    <t>DamageDuration</t>
    <phoneticPr fontId="17" type="noConversion"/>
  </si>
  <si>
    <t>DamageDuration</t>
    <phoneticPr fontId="17" type="noConversion"/>
  </si>
  <si>
    <t>효과 지속 시간
(초)</t>
    <phoneticPr fontId="17" type="noConversion"/>
  </si>
  <si>
    <r>
      <t xml:space="preserve">■정확도는 우리방식(원주좌표계에서 랜덤 R, 랜덤 </t>
    </r>
    <r>
      <rPr>
        <sz val="11"/>
        <color theme="1"/>
        <rFont val="Calibri"/>
        <family val="3"/>
        <charset val="161"/>
      </rPr>
      <t>θ</t>
    </r>
    <r>
      <rPr>
        <sz val="11"/>
        <color theme="1"/>
        <rFont val="맑은 고딕"/>
        <family val="3"/>
        <charset val="129"/>
        <scheme val="minor"/>
      </rPr>
      <t>로 탄착 결정)에서는 탄퍼짐 각도(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맑은 고딕"/>
        <family val="3"/>
        <charset val="129"/>
        <scheme val="minor"/>
      </rPr>
      <t>탄착군 반지름)에 반비례</t>
    </r>
    <phoneticPr fontId="36" type="noConversion"/>
  </si>
  <si>
    <t>■정확도 = (RefAngle / SpreadAngle) 여기서 저격총은 RefAngle 대신 SniperRefAngle을 사용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</si>
</sst>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#,##0.0_ "/>
  </numFmts>
  <fonts count="7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0"/>
      <color theme="6" tint="-0.499984740745262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</font>
    <font>
      <sz val="10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10"/>
      <color indexed="8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Consolas"/>
      <family val="3"/>
    </font>
    <font>
      <sz val="10"/>
      <color theme="0" tint="-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 tint="0.3499862666707357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맑은 고딕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2334"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7" borderId="1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8" fillId="29" borderId="2" applyNumberFormat="0" applyFont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3" applyNumberFormat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32" borderId="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27" borderId="9" applyNumberFormat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3" fillId="40" borderId="12">
      <alignment horizontal="center" vertical="center"/>
    </xf>
    <xf numFmtId="0" fontId="42" fillId="39" borderId="13">
      <alignment horizontal="center"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7" borderId="1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3" applyNumberFormat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32" borderId="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27" borderId="9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1" fillId="0" borderId="0">
      <alignment horizontal="center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7" borderId="1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3" applyNumberFormat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32" borderId="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27" borderId="9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4" fillId="27" borderId="1" applyNumberFormat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1" fillId="0" borderId="0">
      <alignment horizontal="center" vertical="center"/>
    </xf>
    <xf numFmtId="0" fontId="42" fillId="39" borderId="13">
      <alignment horizontal="center" vertical="center"/>
    </xf>
    <xf numFmtId="0" fontId="43" fillId="40" borderId="12">
      <alignment horizontal="center"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4" fillId="29" borderId="2" applyNumberFormat="0" applyFont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1" borderId="3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29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6" fillId="31" borderId="3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6" fillId="29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27" borderId="1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9" borderId="2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50" fillId="29" borderId="2" applyNumberFormat="0" applyFont="0" applyAlignment="0" applyProtection="0">
      <alignment vertical="center"/>
    </xf>
    <xf numFmtId="0" fontId="50" fillId="29" borderId="2" applyNumberFormat="0" applyFont="0" applyAlignment="0" applyProtection="0">
      <alignment vertical="center"/>
    </xf>
    <xf numFmtId="0" fontId="50" fillId="29" borderId="2" applyNumberFormat="0" applyFont="0" applyAlignment="0" applyProtection="0">
      <alignment vertical="center"/>
    </xf>
    <xf numFmtId="0" fontId="50" fillId="29" borderId="2" applyNumberFormat="0" applyFont="0" applyAlignment="0" applyProtection="0">
      <alignment vertical="center"/>
    </xf>
    <xf numFmtId="0" fontId="50" fillId="29" borderId="2" applyNumberFormat="0" applyFont="0" applyAlignment="0" applyProtection="0">
      <alignment vertical="center"/>
    </xf>
    <xf numFmtId="0" fontId="50" fillId="29" borderId="2" applyNumberFormat="0" applyFont="0" applyAlignment="0" applyProtection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41" borderId="0" applyNumberFormat="0" applyProtection="0">
      <alignment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0" fillId="2" borderId="10" xfId="0" applyFill="1" applyBorder="1">
      <alignment vertical="center"/>
    </xf>
    <xf numFmtId="0" fontId="0" fillId="0" borderId="10" xfId="0" applyBorder="1">
      <alignment vertical="center"/>
    </xf>
    <xf numFmtId="0" fontId="0" fillId="34" borderId="10" xfId="0" applyFill="1" applyBorder="1" applyAlignment="1">
      <alignment horizontal="left" vertical="center"/>
    </xf>
    <xf numFmtId="0" fontId="0" fillId="34" borderId="10" xfId="0" applyFill="1" applyBorder="1">
      <alignment vertical="center"/>
    </xf>
    <xf numFmtId="0" fontId="15" fillId="0" borderId="0" xfId="48">
      <alignment vertical="center"/>
    </xf>
    <xf numFmtId="0" fontId="38" fillId="0" borderId="0" xfId="0" applyFont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40" borderId="10" xfId="0" applyFill="1" applyBorder="1">
      <alignment vertical="center"/>
    </xf>
    <xf numFmtId="0" fontId="39" fillId="38" borderId="0" xfId="0" applyFont="1" applyFill="1" applyAlignment="1">
      <alignment horizontal="center" vertical="center"/>
    </xf>
    <xf numFmtId="0" fontId="39" fillId="38" borderId="0" xfId="0" applyFont="1" applyFill="1" applyAlignment="1">
      <alignment horizontal="left" vertical="center"/>
    </xf>
    <xf numFmtId="0" fontId="0" fillId="0" borderId="14" xfId="0" applyBorder="1">
      <alignment vertical="center"/>
    </xf>
    <xf numFmtId="0" fontId="51" fillId="0" borderId="0" xfId="0" applyFont="1">
      <alignment vertical="center"/>
    </xf>
    <xf numFmtId="0" fontId="51" fillId="42" borderId="11" xfId="0" applyFont="1" applyFill="1" applyBorder="1">
      <alignment vertical="center"/>
    </xf>
    <xf numFmtId="0" fontId="51" fillId="40" borderId="11" xfId="0" applyFont="1" applyFill="1" applyBorder="1">
      <alignment vertical="center"/>
    </xf>
    <xf numFmtId="0" fontId="53" fillId="36" borderId="11" xfId="0" applyFont="1" applyFill="1" applyBorder="1" applyAlignment="1">
      <alignment horizontal="center" vertical="center"/>
    </xf>
    <xf numFmtId="0" fontId="37" fillId="43" borderId="11" xfId="0" applyFont="1" applyFill="1" applyBorder="1" applyAlignment="1">
      <alignment horizontal="center" vertical="center"/>
    </xf>
    <xf numFmtId="0" fontId="54" fillId="37" borderId="11" xfId="0" applyFont="1" applyFill="1" applyBorder="1" applyAlignment="1">
      <alignment horizontal="center" vertical="center"/>
    </xf>
    <xf numFmtId="0" fontId="55" fillId="0" borderId="11" xfId="0" applyFont="1" applyBorder="1" applyAlignment="1">
      <alignment horizontal="center" vertical="center"/>
    </xf>
    <xf numFmtId="0" fontId="56" fillId="40" borderId="10" xfId="0" applyFont="1" applyFill="1" applyBorder="1">
      <alignment vertical="center"/>
    </xf>
    <xf numFmtId="0" fontId="52" fillId="35" borderId="11" xfId="0" applyFont="1" applyFill="1" applyBorder="1" applyAlignment="1">
      <alignment horizontal="center" vertical="center"/>
    </xf>
    <xf numFmtId="0" fontId="37" fillId="35" borderId="11" xfId="0" applyFont="1" applyFill="1" applyBorder="1" applyAlignment="1">
      <alignment horizontal="center" vertical="center"/>
    </xf>
    <xf numFmtId="0" fontId="51" fillId="43" borderId="11" xfId="0" applyFont="1" applyFill="1" applyBorder="1" applyAlignment="1">
      <alignment horizontal="center" vertical="center" wrapText="1"/>
    </xf>
    <xf numFmtId="0" fontId="38" fillId="43" borderId="11" xfId="0" applyFont="1" applyFill="1" applyBorder="1" applyAlignment="1">
      <alignment horizontal="center" vertical="center"/>
    </xf>
    <xf numFmtId="0" fontId="53" fillId="37" borderId="11" xfId="0" applyFont="1" applyFill="1" applyBorder="1" applyAlignment="1">
      <alignment horizontal="center" vertical="center"/>
    </xf>
    <xf numFmtId="0" fontId="36" fillId="37" borderId="11" xfId="0" applyFont="1" applyFill="1" applyBorder="1" applyAlignment="1">
      <alignment horizontal="center" vertical="center"/>
    </xf>
    <xf numFmtId="0" fontId="53" fillId="37" borderId="11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57" fillId="43" borderId="11" xfId="0" applyFont="1" applyFill="1" applyBorder="1" applyAlignment="1">
      <alignment horizontal="center" vertical="center" wrapText="1"/>
    </xf>
    <xf numFmtId="176" fontId="57" fillId="43" borderId="11" xfId="0" applyNumberFormat="1" applyFont="1" applyFill="1" applyBorder="1" applyAlignment="1">
      <alignment horizontal="center" vertical="center" wrapText="1"/>
    </xf>
    <xf numFmtId="0" fontId="51" fillId="43" borderId="11" xfId="0" applyFont="1" applyFill="1" applyBorder="1" applyAlignment="1">
      <alignment horizontal="left" vertical="center" wrapText="1"/>
    </xf>
    <xf numFmtId="0" fontId="51" fillId="43" borderId="11" xfId="0" applyFont="1" applyFill="1" applyBorder="1" applyAlignment="1">
      <alignment vertical="center" wrapText="1"/>
    </xf>
    <xf numFmtId="0" fontId="37" fillId="43" borderId="11" xfId="0" applyFont="1" applyFill="1" applyBorder="1" applyAlignment="1">
      <alignment horizontal="center" vertical="center" wrapText="1"/>
    </xf>
    <xf numFmtId="0" fontId="37" fillId="45" borderId="11" xfId="0" applyFont="1" applyFill="1" applyBorder="1" applyAlignment="1">
      <alignment horizontal="center" vertical="center"/>
    </xf>
    <xf numFmtId="0" fontId="51" fillId="45" borderId="11" xfId="0" applyFont="1" applyFill="1" applyBorder="1" applyAlignment="1">
      <alignment horizontal="center" vertical="center" wrapText="1"/>
    </xf>
    <xf numFmtId="0" fontId="57" fillId="45" borderId="11" xfId="0" applyFont="1" applyFill="1" applyBorder="1" applyAlignment="1">
      <alignment horizontal="center" vertical="center" wrapText="1"/>
    </xf>
    <xf numFmtId="176" fontId="57" fillId="45" borderId="11" xfId="0" applyNumberFormat="1" applyFont="1" applyFill="1" applyBorder="1" applyAlignment="1">
      <alignment horizontal="center" vertical="center" wrapText="1"/>
    </xf>
    <xf numFmtId="0" fontId="51" fillId="45" borderId="11" xfId="0" applyFont="1" applyFill="1" applyBorder="1" applyAlignment="1">
      <alignment horizontal="left" vertical="center" wrapText="1"/>
    </xf>
    <xf numFmtId="0" fontId="51" fillId="45" borderId="11" xfId="0" applyFont="1" applyFill="1" applyBorder="1" applyAlignment="1">
      <alignment vertical="center" wrapText="1"/>
    </xf>
    <xf numFmtId="0" fontId="38" fillId="45" borderId="11" xfId="0" applyFont="1" applyFill="1" applyBorder="1" applyAlignment="1">
      <alignment horizontal="center" vertical="center"/>
    </xf>
    <xf numFmtId="0" fontId="37" fillId="45" borderId="11" xfId="0" applyFont="1" applyFill="1" applyBorder="1" applyAlignment="1">
      <alignment horizontal="center" vertical="center" wrapText="1"/>
    </xf>
    <xf numFmtId="0" fontId="53" fillId="44" borderId="11" xfId="0" applyFont="1" applyFill="1" applyBorder="1" applyAlignment="1">
      <alignment horizontal="center" vertical="center" wrapText="1"/>
    </xf>
    <xf numFmtId="0" fontId="52" fillId="44" borderId="11" xfId="0" applyFont="1" applyFill="1" applyBorder="1" applyAlignment="1">
      <alignment horizontal="center" vertical="center"/>
    </xf>
    <xf numFmtId="0" fontId="53" fillId="46" borderId="11" xfId="0" applyFont="1" applyFill="1" applyBorder="1" applyAlignment="1">
      <alignment horizontal="center" vertical="center" wrapText="1"/>
    </xf>
    <xf numFmtId="0" fontId="52" fillId="46" borderId="11" xfId="0" applyFont="1" applyFill="1" applyBorder="1" applyAlignment="1">
      <alignment horizontal="center" vertical="center"/>
    </xf>
    <xf numFmtId="0" fontId="60" fillId="43" borderId="11" xfId="0" applyFont="1" applyFill="1" applyBorder="1" applyAlignment="1">
      <alignment horizontal="center" vertical="center" wrapText="1"/>
    </xf>
    <xf numFmtId="0" fontId="60" fillId="45" borderId="11" xfId="0" applyFont="1" applyFill="1" applyBorder="1" applyAlignment="1">
      <alignment horizontal="center" vertical="center" wrapText="1"/>
    </xf>
    <xf numFmtId="0" fontId="53" fillId="47" borderId="11" xfId="0" applyFont="1" applyFill="1" applyBorder="1" applyAlignment="1">
      <alignment horizontal="center" vertical="center" wrapText="1"/>
    </xf>
    <xf numFmtId="0" fontId="52" fillId="47" borderId="11" xfId="0" applyFont="1" applyFill="1" applyBorder="1" applyAlignment="1">
      <alignment horizontal="center" vertical="center"/>
    </xf>
    <xf numFmtId="0" fontId="61" fillId="35" borderId="11" xfId="0" applyFont="1" applyFill="1" applyBorder="1" applyAlignment="1">
      <alignment horizontal="center" vertical="center"/>
    </xf>
    <xf numFmtId="0" fontId="62" fillId="37" borderId="11" xfId="0" applyFont="1" applyFill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 wrapText="1"/>
    </xf>
    <xf numFmtId="176" fontId="57" fillId="0" borderId="11" xfId="0" applyNumberFormat="1" applyFont="1" applyBorder="1" applyAlignment="1">
      <alignment horizontal="center" vertical="center" wrapText="1"/>
    </xf>
    <xf numFmtId="0" fontId="51" fillId="0" borderId="11" xfId="0" applyFont="1" applyBorder="1" applyAlignment="1">
      <alignment horizontal="left" vertical="center" wrapText="1"/>
    </xf>
    <xf numFmtId="0" fontId="60" fillId="0" borderId="11" xfId="0" applyFont="1" applyBorder="1" applyAlignment="1">
      <alignment horizontal="center" vertical="center" wrapText="1"/>
    </xf>
    <xf numFmtId="0" fontId="51" fillId="0" borderId="11" xfId="0" applyFont="1" applyBorder="1" applyAlignment="1">
      <alignment vertical="center" wrapText="1"/>
    </xf>
    <xf numFmtId="0" fontId="38" fillId="0" borderId="11" xfId="0" applyFont="1" applyBorder="1" applyAlignment="1">
      <alignment horizontal="center" vertical="center"/>
    </xf>
    <xf numFmtId="0" fontId="65" fillId="43" borderId="11" xfId="0" applyFont="1" applyFill="1" applyBorder="1" applyAlignment="1">
      <alignment horizontal="left" vertical="center" wrapText="1"/>
    </xf>
    <xf numFmtId="0" fontId="65" fillId="45" borderId="11" xfId="0" applyFont="1" applyFill="1" applyBorder="1" applyAlignment="1">
      <alignment horizontal="left" vertical="center" wrapText="1"/>
    </xf>
    <xf numFmtId="0" fontId="65" fillId="0" borderId="11" xfId="0" applyFont="1" applyBorder="1" applyAlignment="1">
      <alignment horizontal="left" vertical="center" wrapText="1"/>
    </xf>
    <xf numFmtId="0" fontId="58" fillId="36" borderId="11" xfId="0" applyFont="1" applyFill="1" applyBorder="1" applyAlignment="1">
      <alignment horizontal="center" vertical="center"/>
    </xf>
    <xf numFmtId="0" fontId="40" fillId="45" borderId="11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53" fillId="45" borderId="11" xfId="0" applyFont="1" applyFill="1" applyBorder="1" applyAlignment="1">
      <alignment horizontal="center" vertical="center" wrapText="1"/>
    </xf>
    <xf numFmtId="0" fontId="52" fillId="45" borderId="11" xfId="0" applyFont="1" applyFill="1" applyBorder="1" applyAlignment="1">
      <alignment horizontal="center" vertical="center"/>
    </xf>
    <xf numFmtId="0" fontId="0" fillId="34" borderId="11" xfId="0" applyFill="1" applyBorder="1">
      <alignment vertical="center"/>
    </xf>
    <xf numFmtId="0" fontId="36" fillId="37" borderId="11" xfId="0" applyFont="1" applyFill="1" applyBorder="1" applyAlignment="1">
      <alignment horizontal="center" vertical="center" wrapText="1"/>
    </xf>
    <xf numFmtId="0" fontId="40" fillId="43" borderId="11" xfId="0" applyFont="1" applyFill="1" applyBorder="1" applyAlignment="1">
      <alignment horizontal="center" vertical="center" wrapText="1"/>
    </xf>
    <xf numFmtId="177" fontId="38" fillId="43" borderId="11" xfId="0" applyNumberFormat="1" applyFont="1" applyFill="1" applyBorder="1" applyAlignment="1">
      <alignment horizontal="center" vertical="center"/>
    </xf>
    <xf numFmtId="0" fontId="51" fillId="0" borderId="11" xfId="0" applyFont="1" applyBorder="1">
      <alignment vertical="center"/>
    </xf>
    <xf numFmtId="0" fontId="55" fillId="0" borderId="11" xfId="0" applyFont="1" applyBorder="1" applyAlignment="1">
      <alignment horizontal="left" vertical="center" wrapText="1"/>
    </xf>
    <xf numFmtId="0" fontId="55" fillId="0" borderId="11" xfId="0" applyFont="1" applyBorder="1" applyAlignment="1">
      <alignment horizontal="left" vertical="center"/>
    </xf>
    <xf numFmtId="0" fontId="39" fillId="38" borderId="11" xfId="0" applyFont="1" applyFill="1" applyBorder="1" applyAlignment="1">
      <alignment horizontal="left" vertical="center"/>
    </xf>
    <xf numFmtId="0" fontId="54" fillId="37" borderId="11" xfId="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left" vertical="center" wrapText="1"/>
    </xf>
    <xf numFmtId="0" fontId="54" fillId="0" borderId="11" xfId="0" applyFont="1" applyBorder="1" applyAlignment="1">
      <alignment horizontal="left" vertical="center"/>
    </xf>
  </cellXfs>
  <cellStyles count="22334">
    <cellStyle name="20% - 강조색1" xfId="1" builtinId="30" customBuiltin="1"/>
    <cellStyle name="20% - 강조색1 2" xfId="117"/>
    <cellStyle name="20% - 강조색1 3" xfId="643"/>
    <cellStyle name="20% - 강조색1 3 10" xfId="3571"/>
    <cellStyle name="20% - 강조색1 3 10 2" xfId="8470"/>
    <cellStyle name="20% - 강조색1 3 10 2 2" xfId="19718"/>
    <cellStyle name="20% - 강조색1 3 10 3" xfId="6032"/>
    <cellStyle name="20% - 강조색1 3 10 3 2" xfId="17280"/>
    <cellStyle name="20% - 강조색1 3 10 4" xfId="14842"/>
    <cellStyle name="20% - 강조색1 3 11" xfId="8291"/>
    <cellStyle name="20% - 강조색1 3 11 2" xfId="19539"/>
    <cellStyle name="20% - 강조색1 3 12" xfId="5853"/>
    <cellStyle name="20% - 강조색1 3 12 2" xfId="17101"/>
    <cellStyle name="20% - 강조색1 3 13" xfId="10737"/>
    <cellStyle name="20% - 강조색1 3 13 2" xfId="21985"/>
    <cellStyle name="20% - 강조색1 3 14" xfId="3385"/>
    <cellStyle name="20% - 강조색1 3 14 2" xfId="14663"/>
    <cellStyle name="20% - 강조색1 3 2" xfId="736"/>
    <cellStyle name="20% - 강조색1 3 2 10" xfId="2367"/>
    <cellStyle name="20% - 강조색1 3 2 10 2" xfId="13770"/>
    <cellStyle name="20% - 강조색1 3 2 11" xfId="12310"/>
    <cellStyle name="20% - 강조색1 3 2 2" xfId="1400"/>
    <cellStyle name="20% - 강조색1 3 2 2 2" xfId="4407"/>
    <cellStyle name="20% - 강조색1 3 2 2 2 2" xfId="5399"/>
    <cellStyle name="20% - 강조색1 3 2 2 2 2 2" xfId="10276"/>
    <cellStyle name="20% - 강조색1 3 2 2 2 2 2 2" xfId="21524"/>
    <cellStyle name="20% - 강조색1 3 2 2 2 2 3" xfId="7838"/>
    <cellStyle name="20% - 강조색1 3 2 2 2 2 3 2" xfId="19086"/>
    <cellStyle name="20% - 강조색1 3 2 2 2 2 4" xfId="16648"/>
    <cellStyle name="20% - 강조색1 3 2 2 2 3" xfId="9286"/>
    <cellStyle name="20% - 강조색1 3 2 2 2 3 2" xfId="20534"/>
    <cellStyle name="20% - 강조색1 3 2 2 2 4" xfId="6848"/>
    <cellStyle name="20% - 강조색1 3 2 2 2 4 2" xfId="18096"/>
    <cellStyle name="20% - 강조색1 3 2 2 2 5" xfId="15658"/>
    <cellStyle name="20% - 강조색1 3 2 2 3" xfId="4946"/>
    <cellStyle name="20% - 강조색1 3 2 2 3 2" xfId="9823"/>
    <cellStyle name="20% - 강조색1 3 2 2 3 2 2" xfId="21071"/>
    <cellStyle name="20% - 강조색1 3 2 2 3 3" xfId="7385"/>
    <cellStyle name="20% - 강조색1 3 2 2 3 3 2" xfId="18633"/>
    <cellStyle name="20% - 강조색1 3 2 2 3 4" xfId="16195"/>
    <cellStyle name="20% - 강조색1 3 2 2 4" xfId="8833"/>
    <cellStyle name="20% - 강조색1 3 2 2 4 2" xfId="20081"/>
    <cellStyle name="20% - 강조색1 3 2 2 5" xfId="6395"/>
    <cellStyle name="20% - 강조색1 3 2 2 5 2" xfId="17643"/>
    <cellStyle name="20% - 강조색1 3 2 2 6" xfId="11005"/>
    <cellStyle name="20% - 강조색1 3 2 2 6 2" xfId="22252"/>
    <cellStyle name="20% - 강조색1 3 2 2 7" xfId="3954"/>
    <cellStyle name="20% - 강조색1 3 2 2 7 2" xfId="15205"/>
    <cellStyle name="20% - 강조색1 3 2 2 8" xfId="3015"/>
    <cellStyle name="20% - 강조색1 3 2 2 8 2" xfId="14293"/>
    <cellStyle name="20% - 강조색1 3 2 2 9" xfId="12833"/>
    <cellStyle name="20% - 강조색1 3 2 3" xfId="4180"/>
    <cellStyle name="20% - 강조색1 3 2 3 2" xfId="5172"/>
    <cellStyle name="20% - 강조색1 3 2 3 2 2" xfId="10049"/>
    <cellStyle name="20% - 강조색1 3 2 3 2 2 2" xfId="21297"/>
    <cellStyle name="20% - 강조색1 3 2 3 2 3" xfId="7611"/>
    <cellStyle name="20% - 강조색1 3 2 3 2 3 2" xfId="18859"/>
    <cellStyle name="20% - 강조색1 3 2 3 2 4" xfId="16421"/>
    <cellStyle name="20% - 강조색1 3 2 3 3" xfId="9059"/>
    <cellStyle name="20% - 강조색1 3 2 3 3 2" xfId="20307"/>
    <cellStyle name="20% - 강조색1 3 2 3 4" xfId="6621"/>
    <cellStyle name="20% - 강조색1 3 2 3 4 2" xfId="17869"/>
    <cellStyle name="20% - 강조색1 3 2 3 5" xfId="15431"/>
    <cellStyle name="20% - 강조색1 3 2 4" xfId="4720"/>
    <cellStyle name="20% - 강조색1 3 2 4 2" xfId="9597"/>
    <cellStyle name="20% - 강조색1 3 2 4 2 2" xfId="20845"/>
    <cellStyle name="20% - 강조색1 3 2 4 3" xfId="7159"/>
    <cellStyle name="20% - 강조색1 3 2 4 3 2" xfId="18407"/>
    <cellStyle name="20% - 강조색1 3 2 4 4" xfId="15969"/>
    <cellStyle name="20% - 강조색1 3 2 5" xfId="3728"/>
    <cellStyle name="20% - 강조색1 3 2 5 2" xfId="8607"/>
    <cellStyle name="20% - 강조색1 3 2 5 2 2" xfId="19855"/>
    <cellStyle name="20% - 강조색1 3 2 5 3" xfId="6169"/>
    <cellStyle name="20% - 강조색1 3 2 5 3 2" xfId="17417"/>
    <cellStyle name="20% - 강조색1 3 2 5 4" xfId="14979"/>
    <cellStyle name="20% - 강조색1 3 2 6" xfId="8374"/>
    <cellStyle name="20% - 강조색1 3 2 6 2" xfId="19622"/>
    <cellStyle name="20% - 강조색1 3 2 7" xfId="5936"/>
    <cellStyle name="20% - 강조색1 3 2 7 2" xfId="17184"/>
    <cellStyle name="20% - 강조색1 3 2 8" xfId="10820"/>
    <cellStyle name="20% - 강조색1 3 2 8 2" xfId="22068"/>
    <cellStyle name="20% - 강조색1 3 2 9" xfId="3474"/>
    <cellStyle name="20% - 강조색1 3 2 9 2" xfId="14746"/>
    <cellStyle name="20% - 강조색1 3 3" xfId="1311"/>
    <cellStyle name="20% - 강조색1 3 3 2" xfId="4323"/>
    <cellStyle name="20% - 강조색1 3 3 2 2" xfId="5315"/>
    <cellStyle name="20% - 강조색1 3 3 2 2 2" xfId="10192"/>
    <cellStyle name="20% - 강조색1 3 3 2 2 2 2" xfId="21440"/>
    <cellStyle name="20% - 강조색1 3 3 2 2 3" xfId="7754"/>
    <cellStyle name="20% - 강조색1 3 3 2 2 3 2" xfId="19002"/>
    <cellStyle name="20% - 강조색1 3 3 2 2 4" xfId="16564"/>
    <cellStyle name="20% - 강조색1 3 3 2 3" xfId="9202"/>
    <cellStyle name="20% - 강조색1 3 3 2 3 2" xfId="20450"/>
    <cellStyle name="20% - 강조색1 3 3 2 4" xfId="6764"/>
    <cellStyle name="20% - 강조색1 3 3 2 4 2" xfId="18012"/>
    <cellStyle name="20% - 강조색1 3 3 2 5" xfId="15574"/>
    <cellStyle name="20% - 강조색1 3 3 3" xfId="4862"/>
    <cellStyle name="20% - 강조색1 3 3 3 2" xfId="9739"/>
    <cellStyle name="20% - 강조색1 3 3 3 2 2" xfId="20987"/>
    <cellStyle name="20% - 강조색1 3 3 3 3" xfId="7301"/>
    <cellStyle name="20% - 강조색1 3 3 3 3 2" xfId="18549"/>
    <cellStyle name="20% - 강조색1 3 3 3 4" xfId="16111"/>
    <cellStyle name="20% - 강조색1 3 3 4" xfId="8749"/>
    <cellStyle name="20% - 강조색1 3 3 4 2" xfId="19997"/>
    <cellStyle name="20% - 강조색1 3 3 5" xfId="6311"/>
    <cellStyle name="20% - 강조색1 3 3 5 2" xfId="17559"/>
    <cellStyle name="20% - 강조색1 3 3 6" xfId="10922"/>
    <cellStyle name="20% - 강조색1 3 3 6 2" xfId="22169"/>
    <cellStyle name="20% - 강조색1 3 3 7" xfId="3870"/>
    <cellStyle name="20% - 강조색1 3 3 7 2" xfId="15121"/>
    <cellStyle name="20% - 강조색1 3 3 8" xfId="2932"/>
    <cellStyle name="20% - 강조색1 3 3 8 2" xfId="14210"/>
    <cellStyle name="20% - 강조색1 3 3 9" xfId="12750"/>
    <cellStyle name="20% - 강조색1 3 4" xfId="4096"/>
    <cellStyle name="20% - 강조색1 3 4 2" xfId="5088"/>
    <cellStyle name="20% - 강조색1 3 4 2 2" xfId="9965"/>
    <cellStyle name="20% - 강조색1 3 4 2 2 2" xfId="21213"/>
    <cellStyle name="20% - 강조색1 3 4 2 3" xfId="7527"/>
    <cellStyle name="20% - 강조색1 3 4 2 3 2" xfId="18775"/>
    <cellStyle name="20% - 강조색1 3 4 2 4" xfId="16337"/>
    <cellStyle name="20% - 강조색1 3 4 3" xfId="8975"/>
    <cellStyle name="20% - 강조색1 3 4 3 2" xfId="20223"/>
    <cellStyle name="20% - 강조색1 3 4 4" xfId="6537"/>
    <cellStyle name="20% - 강조색1 3 4 4 2" xfId="17785"/>
    <cellStyle name="20% - 강조색1 3 4 5" xfId="15347"/>
    <cellStyle name="20% - 강조색1 3 5" xfId="4505"/>
    <cellStyle name="20% - 강조색1 3 5 2" xfId="5495"/>
    <cellStyle name="20% - 강조색1 3 5 2 2" xfId="10372"/>
    <cellStyle name="20% - 강조색1 3 5 2 2 2" xfId="21620"/>
    <cellStyle name="20% - 강조색1 3 5 2 3" xfId="7934"/>
    <cellStyle name="20% - 강조색1 3 5 2 3 2" xfId="19182"/>
    <cellStyle name="20% - 강조색1 3 5 2 4" xfId="16744"/>
    <cellStyle name="20% - 강조색1 3 5 3" xfId="9382"/>
    <cellStyle name="20% - 강조색1 3 5 3 2" xfId="20630"/>
    <cellStyle name="20% - 강조색1 3 5 4" xfId="6944"/>
    <cellStyle name="20% - 강조색1 3 5 4 2" xfId="18192"/>
    <cellStyle name="20% - 강조색1 3 5 5" xfId="15754"/>
    <cellStyle name="20% - 강조색1 3 6" xfId="4636"/>
    <cellStyle name="20% - 강조색1 3 6 2" xfId="9513"/>
    <cellStyle name="20% - 강조색1 3 6 2 2" xfId="20761"/>
    <cellStyle name="20% - 강조색1 3 6 3" xfId="7075"/>
    <cellStyle name="20% - 강조색1 3 6 3 2" xfId="18323"/>
    <cellStyle name="20% - 강조색1 3 6 4" xfId="15885"/>
    <cellStyle name="20% - 강조색1 3 7" xfId="5579"/>
    <cellStyle name="20% - 강조색1 3 7 2" xfId="10456"/>
    <cellStyle name="20% - 강조색1 3 7 2 2" xfId="21704"/>
    <cellStyle name="20% - 강조색1 3 7 3" xfId="8018"/>
    <cellStyle name="20% - 강조색1 3 7 3 2" xfId="19266"/>
    <cellStyle name="20% - 강조색1 3 7 4" xfId="16828"/>
    <cellStyle name="20% - 강조색1 3 8" xfId="5685"/>
    <cellStyle name="20% - 강조색1 3 8 2" xfId="10562"/>
    <cellStyle name="20% - 강조색1 3 8 2 2" xfId="21810"/>
    <cellStyle name="20% - 강조색1 3 8 3" xfId="8124"/>
    <cellStyle name="20% - 강조색1 3 8 3 2" xfId="19372"/>
    <cellStyle name="20% - 강조색1 3 8 4" xfId="16934"/>
    <cellStyle name="20% - 강조색1 3 9" xfId="5768"/>
    <cellStyle name="20% - 강조색1 3 9 2" xfId="10645"/>
    <cellStyle name="20% - 강조색1 3 9 2 2" xfId="21893"/>
    <cellStyle name="20% - 강조색1 3 9 3" xfId="8207"/>
    <cellStyle name="20% - 강조색1 3 9 3 2" xfId="19455"/>
    <cellStyle name="20% - 강조색1 3 9 4" xfId="17017"/>
    <cellStyle name="20% - 강조색1 4" xfId="1467"/>
    <cellStyle name="20% - 강조색2" xfId="2" builtinId="34" customBuiltin="1"/>
    <cellStyle name="20% - 강조색2 2" xfId="118"/>
    <cellStyle name="20% - 강조색2 3" xfId="644"/>
    <cellStyle name="20% - 강조색3" xfId="3" builtinId="38" customBuiltin="1"/>
    <cellStyle name="20% - 강조색3 2" xfId="119"/>
    <cellStyle name="20% - 강조색3 3" xfId="645"/>
    <cellStyle name="20% - 강조색4" xfId="4" builtinId="42" customBuiltin="1"/>
    <cellStyle name="20% - 강조색4 2" xfId="120"/>
    <cellStyle name="20% - 강조색4 3" xfId="646"/>
    <cellStyle name="20% - 강조색5" xfId="5" builtinId="46" customBuiltin="1"/>
    <cellStyle name="20% - 강조색5 2" xfId="121"/>
    <cellStyle name="20% - 강조색5 3" xfId="647"/>
    <cellStyle name="20% - 강조색5 3 10" xfId="3570"/>
    <cellStyle name="20% - 강조색5 3 10 2" xfId="8469"/>
    <cellStyle name="20% - 강조색5 3 10 2 2" xfId="19717"/>
    <cellStyle name="20% - 강조색5 3 10 3" xfId="6031"/>
    <cellStyle name="20% - 강조색5 3 10 3 2" xfId="17279"/>
    <cellStyle name="20% - 강조색5 3 10 4" xfId="14841"/>
    <cellStyle name="20% - 강조색5 3 11" xfId="8290"/>
    <cellStyle name="20% - 강조색5 3 11 2" xfId="19538"/>
    <cellStyle name="20% - 강조색5 3 12" xfId="5852"/>
    <cellStyle name="20% - 강조색5 3 12 2" xfId="17100"/>
    <cellStyle name="20% - 강조색5 3 13" xfId="10736"/>
    <cellStyle name="20% - 강조색5 3 13 2" xfId="21984"/>
    <cellStyle name="20% - 강조색5 3 14" xfId="3384"/>
    <cellStyle name="20% - 강조색5 3 14 2" xfId="14662"/>
    <cellStyle name="20% - 강조색5 3 2" xfId="735"/>
    <cellStyle name="20% - 강조색5 3 2 10" xfId="2366"/>
    <cellStyle name="20% - 강조색5 3 2 10 2" xfId="13769"/>
    <cellStyle name="20% - 강조색5 3 2 11" xfId="12309"/>
    <cellStyle name="20% - 강조색5 3 2 2" xfId="1399"/>
    <cellStyle name="20% - 강조색5 3 2 2 2" xfId="4406"/>
    <cellStyle name="20% - 강조색5 3 2 2 2 2" xfId="5398"/>
    <cellStyle name="20% - 강조색5 3 2 2 2 2 2" xfId="10275"/>
    <cellStyle name="20% - 강조색5 3 2 2 2 2 2 2" xfId="21523"/>
    <cellStyle name="20% - 강조색5 3 2 2 2 2 3" xfId="7837"/>
    <cellStyle name="20% - 강조색5 3 2 2 2 2 3 2" xfId="19085"/>
    <cellStyle name="20% - 강조색5 3 2 2 2 2 4" xfId="16647"/>
    <cellStyle name="20% - 강조색5 3 2 2 2 3" xfId="9285"/>
    <cellStyle name="20% - 강조색5 3 2 2 2 3 2" xfId="20533"/>
    <cellStyle name="20% - 강조색5 3 2 2 2 4" xfId="6847"/>
    <cellStyle name="20% - 강조색5 3 2 2 2 4 2" xfId="18095"/>
    <cellStyle name="20% - 강조색5 3 2 2 2 5" xfId="15657"/>
    <cellStyle name="20% - 강조색5 3 2 2 3" xfId="4945"/>
    <cellStyle name="20% - 강조색5 3 2 2 3 2" xfId="9822"/>
    <cellStyle name="20% - 강조색5 3 2 2 3 2 2" xfId="21070"/>
    <cellStyle name="20% - 강조색5 3 2 2 3 3" xfId="7384"/>
    <cellStyle name="20% - 강조색5 3 2 2 3 3 2" xfId="18632"/>
    <cellStyle name="20% - 강조색5 3 2 2 3 4" xfId="16194"/>
    <cellStyle name="20% - 강조색5 3 2 2 4" xfId="8832"/>
    <cellStyle name="20% - 강조색5 3 2 2 4 2" xfId="20080"/>
    <cellStyle name="20% - 강조색5 3 2 2 5" xfId="6394"/>
    <cellStyle name="20% - 강조색5 3 2 2 5 2" xfId="17642"/>
    <cellStyle name="20% - 강조색5 3 2 2 6" xfId="11004"/>
    <cellStyle name="20% - 강조색5 3 2 2 6 2" xfId="22251"/>
    <cellStyle name="20% - 강조색5 3 2 2 7" xfId="3953"/>
    <cellStyle name="20% - 강조색5 3 2 2 7 2" xfId="15204"/>
    <cellStyle name="20% - 강조색5 3 2 2 8" xfId="3014"/>
    <cellStyle name="20% - 강조색5 3 2 2 8 2" xfId="14292"/>
    <cellStyle name="20% - 강조색5 3 2 2 9" xfId="12832"/>
    <cellStyle name="20% - 강조색5 3 2 3" xfId="4179"/>
    <cellStyle name="20% - 강조색5 3 2 3 2" xfId="5171"/>
    <cellStyle name="20% - 강조색5 3 2 3 2 2" xfId="10048"/>
    <cellStyle name="20% - 강조색5 3 2 3 2 2 2" xfId="21296"/>
    <cellStyle name="20% - 강조색5 3 2 3 2 3" xfId="7610"/>
    <cellStyle name="20% - 강조색5 3 2 3 2 3 2" xfId="18858"/>
    <cellStyle name="20% - 강조색5 3 2 3 2 4" xfId="16420"/>
    <cellStyle name="20% - 강조색5 3 2 3 3" xfId="9058"/>
    <cellStyle name="20% - 강조색5 3 2 3 3 2" xfId="20306"/>
    <cellStyle name="20% - 강조색5 3 2 3 4" xfId="6620"/>
    <cellStyle name="20% - 강조색5 3 2 3 4 2" xfId="17868"/>
    <cellStyle name="20% - 강조색5 3 2 3 5" xfId="15430"/>
    <cellStyle name="20% - 강조색5 3 2 4" xfId="4719"/>
    <cellStyle name="20% - 강조색5 3 2 4 2" xfId="9596"/>
    <cellStyle name="20% - 강조색5 3 2 4 2 2" xfId="20844"/>
    <cellStyle name="20% - 강조색5 3 2 4 3" xfId="7158"/>
    <cellStyle name="20% - 강조색5 3 2 4 3 2" xfId="18406"/>
    <cellStyle name="20% - 강조색5 3 2 4 4" xfId="15968"/>
    <cellStyle name="20% - 강조색5 3 2 5" xfId="3727"/>
    <cellStyle name="20% - 강조색5 3 2 5 2" xfId="8606"/>
    <cellStyle name="20% - 강조색5 3 2 5 2 2" xfId="19854"/>
    <cellStyle name="20% - 강조색5 3 2 5 3" xfId="6168"/>
    <cellStyle name="20% - 강조색5 3 2 5 3 2" xfId="17416"/>
    <cellStyle name="20% - 강조색5 3 2 5 4" xfId="14978"/>
    <cellStyle name="20% - 강조색5 3 2 6" xfId="8373"/>
    <cellStyle name="20% - 강조색5 3 2 6 2" xfId="19621"/>
    <cellStyle name="20% - 강조색5 3 2 7" xfId="5935"/>
    <cellStyle name="20% - 강조색5 3 2 7 2" xfId="17183"/>
    <cellStyle name="20% - 강조색5 3 2 8" xfId="10819"/>
    <cellStyle name="20% - 강조색5 3 2 8 2" xfId="22067"/>
    <cellStyle name="20% - 강조색5 3 2 9" xfId="3473"/>
    <cellStyle name="20% - 강조색5 3 2 9 2" xfId="14745"/>
    <cellStyle name="20% - 강조색5 3 3" xfId="1310"/>
    <cellStyle name="20% - 강조색5 3 3 2" xfId="4322"/>
    <cellStyle name="20% - 강조색5 3 3 2 2" xfId="5314"/>
    <cellStyle name="20% - 강조색5 3 3 2 2 2" xfId="10191"/>
    <cellStyle name="20% - 강조색5 3 3 2 2 2 2" xfId="21439"/>
    <cellStyle name="20% - 강조색5 3 3 2 2 3" xfId="7753"/>
    <cellStyle name="20% - 강조색5 3 3 2 2 3 2" xfId="19001"/>
    <cellStyle name="20% - 강조색5 3 3 2 2 4" xfId="16563"/>
    <cellStyle name="20% - 강조색5 3 3 2 3" xfId="9201"/>
    <cellStyle name="20% - 강조색5 3 3 2 3 2" xfId="20449"/>
    <cellStyle name="20% - 강조색5 3 3 2 4" xfId="6763"/>
    <cellStyle name="20% - 강조색5 3 3 2 4 2" xfId="18011"/>
    <cellStyle name="20% - 강조색5 3 3 2 5" xfId="15573"/>
    <cellStyle name="20% - 강조색5 3 3 3" xfId="4861"/>
    <cellStyle name="20% - 강조색5 3 3 3 2" xfId="9738"/>
    <cellStyle name="20% - 강조색5 3 3 3 2 2" xfId="20986"/>
    <cellStyle name="20% - 강조색5 3 3 3 3" xfId="7300"/>
    <cellStyle name="20% - 강조색5 3 3 3 3 2" xfId="18548"/>
    <cellStyle name="20% - 강조색5 3 3 3 4" xfId="16110"/>
    <cellStyle name="20% - 강조색5 3 3 4" xfId="8748"/>
    <cellStyle name="20% - 강조색5 3 3 4 2" xfId="19996"/>
    <cellStyle name="20% - 강조색5 3 3 5" xfId="6310"/>
    <cellStyle name="20% - 강조색5 3 3 5 2" xfId="17558"/>
    <cellStyle name="20% - 강조색5 3 3 6" xfId="10921"/>
    <cellStyle name="20% - 강조색5 3 3 6 2" xfId="22168"/>
    <cellStyle name="20% - 강조색5 3 3 7" xfId="3869"/>
    <cellStyle name="20% - 강조색5 3 3 7 2" xfId="15120"/>
    <cellStyle name="20% - 강조색5 3 3 8" xfId="2931"/>
    <cellStyle name="20% - 강조색5 3 3 8 2" xfId="14209"/>
    <cellStyle name="20% - 강조색5 3 3 9" xfId="12749"/>
    <cellStyle name="20% - 강조색5 3 4" xfId="4095"/>
    <cellStyle name="20% - 강조색5 3 4 2" xfId="5087"/>
    <cellStyle name="20% - 강조색5 3 4 2 2" xfId="9964"/>
    <cellStyle name="20% - 강조색5 3 4 2 2 2" xfId="21212"/>
    <cellStyle name="20% - 강조색5 3 4 2 3" xfId="7526"/>
    <cellStyle name="20% - 강조색5 3 4 2 3 2" xfId="18774"/>
    <cellStyle name="20% - 강조색5 3 4 2 4" xfId="16336"/>
    <cellStyle name="20% - 강조색5 3 4 3" xfId="8974"/>
    <cellStyle name="20% - 강조색5 3 4 3 2" xfId="20222"/>
    <cellStyle name="20% - 강조색5 3 4 4" xfId="6536"/>
    <cellStyle name="20% - 강조색5 3 4 4 2" xfId="17784"/>
    <cellStyle name="20% - 강조색5 3 4 5" xfId="15346"/>
    <cellStyle name="20% - 강조색5 3 5" xfId="4504"/>
    <cellStyle name="20% - 강조색5 3 5 2" xfId="5494"/>
    <cellStyle name="20% - 강조색5 3 5 2 2" xfId="10371"/>
    <cellStyle name="20% - 강조색5 3 5 2 2 2" xfId="21619"/>
    <cellStyle name="20% - 강조색5 3 5 2 3" xfId="7933"/>
    <cellStyle name="20% - 강조색5 3 5 2 3 2" xfId="19181"/>
    <cellStyle name="20% - 강조색5 3 5 2 4" xfId="16743"/>
    <cellStyle name="20% - 강조색5 3 5 3" xfId="9381"/>
    <cellStyle name="20% - 강조색5 3 5 3 2" xfId="20629"/>
    <cellStyle name="20% - 강조색5 3 5 4" xfId="6943"/>
    <cellStyle name="20% - 강조색5 3 5 4 2" xfId="18191"/>
    <cellStyle name="20% - 강조색5 3 5 5" xfId="15753"/>
    <cellStyle name="20% - 강조색5 3 6" xfId="4635"/>
    <cellStyle name="20% - 강조색5 3 6 2" xfId="9512"/>
    <cellStyle name="20% - 강조색5 3 6 2 2" xfId="20760"/>
    <cellStyle name="20% - 강조색5 3 6 3" xfId="7074"/>
    <cellStyle name="20% - 강조색5 3 6 3 2" xfId="18322"/>
    <cellStyle name="20% - 강조색5 3 6 4" xfId="15884"/>
    <cellStyle name="20% - 강조색5 3 7" xfId="5578"/>
    <cellStyle name="20% - 강조색5 3 7 2" xfId="10455"/>
    <cellStyle name="20% - 강조색5 3 7 2 2" xfId="21703"/>
    <cellStyle name="20% - 강조색5 3 7 3" xfId="8017"/>
    <cellStyle name="20% - 강조색5 3 7 3 2" xfId="19265"/>
    <cellStyle name="20% - 강조색5 3 7 4" xfId="16827"/>
    <cellStyle name="20% - 강조색5 3 8" xfId="5684"/>
    <cellStyle name="20% - 강조색5 3 8 2" xfId="10561"/>
    <cellStyle name="20% - 강조색5 3 8 2 2" xfId="21809"/>
    <cellStyle name="20% - 강조색5 3 8 3" xfId="8123"/>
    <cellStyle name="20% - 강조색5 3 8 3 2" xfId="19371"/>
    <cellStyle name="20% - 강조색5 3 8 4" xfId="16933"/>
    <cellStyle name="20% - 강조색5 3 9" xfId="5767"/>
    <cellStyle name="20% - 강조색5 3 9 2" xfId="10644"/>
    <cellStyle name="20% - 강조색5 3 9 2 2" xfId="21892"/>
    <cellStyle name="20% - 강조색5 3 9 3" xfId="8206"/>
    <cellStyle name="20% - 강조색5 3 9 3 2" xfId="19454"/>
    <cellStyle name="20% - 강조색5 3 9 4" xfId="17016"/>
    <cellStyle name="20% - 강조색5 4" xfId="1385"/>
    <cellStyle name="20% - 강조색6" xfId="6" builtinId="50" customBuiltin="1"/>
    <cellStyle name="20% - 강조색6 2" xfId="122"/>
    <cellStyle name="20% - 강조색6 3" xfId="648"/>
    <cellStyle name="40% - 강조색1" xfId="7" builtinId="31" customBuiltin="1"/>
    <cellStyle name="40% - 강조색1 2" xfId="123"/>
    <cellStyle name="40% - 강조색1 3" xfId="649"/>
    <cellStyle name="40% - 강조색2" xfId="8" builtinId="35" customBuiltin="1"/>
    <cellStyle name="40% - 강조색2 2" xfId="124"/>
    <cellStyle name="40% - 강조색2 3" xfId="650"/>
    <cellStyle name="40% - 강조색3" xfId="9" builtinId="39" customBuiltin="1"/>
    <cellStyle name="40% - 강조색3 2" xfId="125"/>
    <cellStyle name="40% - 강조색3 3" xfId="651"/>
    <cellStyle name="40% - 강조색4" xfId="10" builtinId="43" customBuiltin="1"/>
    <cellStyle name="40% - 강조색4 2" xfId="126"/>
    <cellStyle name="40% - 강조색4 3" xfId="652"/>
    <cellStyle name="40% - 강조색4 3 10" xfId="3572"/>
    <cellStyle name="40% - 강조색4 3 10 2" xfId="8471"/>
    <cellStyle name="40% - 강조색4 3 10 2 2" xfId="19719"/>
    <cellStyle name="40% - 강조색4 3 10 3" xfId="6033"/>
    <cellStyle name="40% - 강조색4 3 10 3 2" xfId="17281"/>
    <cellStyle name="40% - 강조색4 3 10 4" xfId="14843"/>
    <cellStyle name="40% - 강조색4 3 11" xfId="8292"/>
    <cellStyle name="40% - 강조색4 3 11 2" xfId="19540"/>
    <cellStyle name="40% - 강조색4 3 12" xfId="5854"/>
    <cellStyle name="40% - 강조색4 3 12 2" xfId="17102"/>
    <cellStyle name="40% - 강조색4 3 13" xfId="10738"/>
    <cellStyle name="40% - 강조색4 3 13 2" xfId="21986"/>
    <cellStyle name="40% - 강조색4 3 14" xfId="3386"/>
    <cellStyle name="40% - 강조색4 3 14 2" xfId="14664"/>
    <cellStyle name="40% - 강조색4 3 2" xfId="737"/>
    <cellStyle name="40% - 강조색4 3 2 10" xfId="2368"/>
    <cellStyle name="40% - 강조색4 3 2 10 2" xfId="13771"/>
    <cellStyle name="40% - 강조색4 3 2 11" xfId="12311"/>
    <cellStyle name="40% - 강조색4 3 2 2" xfId="1401"/>
    <cellStyle name="40% - 강조색4 3 2 2 2" xfId="4408"/>
    <cellStyle name="40% - 강조색4 3 2 2 2 2" xfId="5400"/>
    <cellStyle name="40% - 강조색4 3 2 2 2 2 2" xfId="10277"/>
    <cellStyle name="40% - 강조색4 3 2 2 2 2 2 2" xfId="21525"/>
    <cellStyle name="40% - 강조색4 3 2 2 2 2 3" xfId="7839"/>
    <cellStyle name="40% - 강조색4 3 2 2 2 2 3 2" xfId="19087"/>
    <cellStyle name="40% - 강조색4 3 2 2 2 2 4" xfId="16649"/>
    <cellStyle name="40% - 강조색4 3 2 2 2 3" xfId="9287"/>
    <cellStyle name="40% - 강조색4 3 2 2 2 3 2" xfId="20535"/>
    <cellStyle name="40% - 강조색4 3 2 2 2 4" xfId="6849"/>
    <cellStyle name="40% - 강조색4 3 2 2 2 4 2" xfId="18097"/>
    <cellStyle name="40% - 강조색4 3 2 2 2 5" xfId="15659"/>
    <cellStyle name="40% - 강조색4 3 2 2 3" xfId="4947"/>
    <cellStyle name="40% - 강조색4 3 2 2 3 2" xfId="9824"/>
    <cellStyle name="40% - 강조색4 3 2 2 3 2 2" xfId="21072"/>
    <cellStyle name="40% - 강조색4 3 2 2 3 3" xfId="7386"/>
    <cellStyle name="40% - 강조색4 3 2 2 3 3 2" xfId="18634"/>
    <cellStyle name="40% - 강조색4 3 2 2 3 4" xfId="16196"/>
    <cellStyle name="40% - 강조색4 3 2 2 4" xfId="8834"/>
    <cellStyle name="40% - 강조색4 3 2 2 4 2" xfId="20082"/>
    <cellStyle name="40% - 강조색4 3 2 2 5" xfId="6396"/>
    <cellStyle name="40% - 강조색4 3 2 2 5 2" xfId="17644"/>
    <cellStyle name="40% - 강조색4 3 2 2 6" xfId="11006"/>
    <cellStyle name="40% - 강조색4 3 2 2 6 2" xfId="22253"/>
    <cellStyle name="40% - 강조색4 3 2 2 7" xfId="3955"/>
    <cellStyle name="40% - 강조색4 3 2 2 7 2" xfId="15206"/>
    <cellStyle name="40% - 강조색4 3 2 2 8" xfId="3016"/>
    <cellStyle name="40% - 강조색4 3 2 2 8 2" xfId="14294"/>
    <cellStyle name="40% - 강조색4 3 2 2 9" xfId="12834"/>
    <cellStyle name="40% - 강조색4 3 2 3" xfId="4181"/>
    <cellStyle name="40% - 강조색4 3 2 3 2" xfId="5173"/>
    <cellStyle name="40% - 강조색4 3 2 3 2 2" xfId="10050"/>
    <cellStyle name="40% - 강조색4 3 2 3 2 2 2" xfId="21298"/>
    <cellStyle name="40% - 강조색4 3 2 3 2 3" xfId="7612"/>
    <cellStyle name="40% - 강조색4 3 2 3 2 3 2" xfId="18860"/>
    <cellStyle name="40% - 강조색4 3 2 3 2 4" xfId="16422"/>
    <cellStyle name="40% - 강조색4 3 2 3 3" xfId="9060"/>
    <cellStyle name="40% - 강조색4 3 2 3 3 2" xfId="20308"/>
    <cellStyle name="40% - 강조색4 3 2 3 4" xfId="6622"/>
    <cellStyle name="40% - 강조색4 3 2 3 4 2" xfId="17870"/>
    <cellStyle name="40% - 강조색4 3 2 3 5" xfId="15432"/>
    <cellStyle name="40% - 강조색4 3 2 4" xfId="4721"/>
    <cellStyle name="40% - 강조색4 3 2 4 2" xfId="9598"/>
    <cellStyle name="40% - 강조색4 3 2 4 2 2" xfId="20846"/>
    <cellStyle name="40% - 강조색4 3 2 4 3" xfId="7160"/>
    <cellStyle name="40% - 강조색4 3 2 4 3 2" xfId="18408"/>
    <cellStyle name="40% - 강조색4 3 2 4 4" xfId="15970"/>
    <cellStyle name="40% - 강조색4 3 2 5" xfId="3729"/>
    <cellStyle name="40% - 강조색4 3 2 5 2" xfId="8608"/>
    <cellStyle name="40% - 강조색4 3 2 5 2 2" xfId="19856"/>
    <cellStyle name="40% - 강조색4 3 2 5 3" xfId="6170"/>
    <cellStyle name="40% - 강조색4 3 2 5 3 2" xfId="17418"/>
    <cellStyle name="40% - 강조색4 3 2 5 4" xfId="14980"/>
    <cellStyle name="40% - 강조색4 3 2 6" xfId="8375"/>
    <cellStyle name="40% - 강조색4 3 2 6 2" xfId="19623"/>
    <cellStyle name="40% - 강조색4 3 2 7" xfId="5937"/>
    <cellStyle name="40% - 강조색4 3 2 7 2" xfId="17185"/>
    <cellStyle name="40% - 강조색4 3 2 8" xfId="10821"/>
    <cellStyle name="40% - 강조색4 3 2 8 2" xfId="22069"/>
    <cellStyle name="40% - 강조색4 3 2 9" xfId="3475"/>
    <cellStyle name="40% - 강조색4 3 2 9 2" xfId="14747"/>
    <cellStyle name="40% - 강조색4 3 3" xfId="1312"/>
    <cellStyle name="40% - 강조색4 3 3 2" xfId="4324"/>
    <cellStyle name="40% - 강조색4 3 3 2 2" xfId="5316"/>
    <cellStyle name="40% - 강조색4 3 3 2 2 2" xfId="10193"/>
    <cellStyle name="40% - 강조색4 3 3 2 2 2 2" xfId="21441"/>
    <cellStyle name="40% - 강조색4 3 3 2 2 3" xfId="7755"/>
    <cellStyle name="40% - 강조색4 3 3 2 2 3 2" xfId="19003"/>
    <cellStyle name="40% - 강조색4 3 3 2 2 4" xfId="16565"/>
    <cellStyle name="40% - 강조색4 3 3 2 3" xfId="9203"/>
    <cellStyle name="40% - 강조색4 3 3 2 3 2" xfId="20451"/>
    <cellStyle name="40% - 강조색4 3 3 2 4" xfId="6765"/>
    <cellStyle name="40% - 강조색4 3 3 2 4 2" xfId="18013"/>
    <cellStyle name="40% - 강조색4 3 3 2 5" xfId="15575"/>
    <cellStyle name="40% - 강조색4 3 3 3" xfId="4863"/>
    <cellStyle name="40% - 강조색4 3 3 3 2" xfId="9740"/>
    <cellStyle name="40% - 강조색4 3 3 3 2 2" xfId="20988"/>
    <cellStyle name="40% - 강조색4 3 3 3 3" xfId="7302"/>
    <cellStyle name="40% - 강조색4 3 3 3 3 2" xfId="18550"/>
    <cellStyle name="40% - 강조색4 3 3 3 4" xfId="16112"/>
    <cellStyle name="40% - 강조색4 3 3 4" xfId="8750"/>
    <cellStyle name="40% - 강조색4 3 3 4 2" xfId="19998"/>
    <cellStyle name="40% - 강조색4 3 3 5" xfId="6312"/>
    <cellStyle name="40% - 강조색4 3 3 5 2" xfId="17560"/>
    <cellStyle name="40% - 강조색4 3 3 6" xfId="10923"/>
    <cellStyle name="40% - 강조색4 3 3 6 2" xfId="22170"/>
    <cellStyle name="40% - 강조색4 3 3 7" xfId="3871"/>
    <cellStyle name="40% - 강조색4 3 3 7 2" xfId="15122"/>
    <cellStyle name="40% - 강조색4 3 3 8" xfId="2933"/>
    <cellStyle name="40% - 강조색4 3 3 8 2" xfId="14211"/>
    <cellStyle name="40% - 강조색4 3 3 9" xfId="12751"/>
    <cellStyle name="40% - 강조색4 3 4" xfId="4097"/>
    <cellStyle name="40% - 강조색4 3 4 2" xfId="5089"/>
    <cellStyle name="40% - 강조색4 3 4 2 2" xfId="9966"/>
    <cellStyle name="40% - 강조색4 3 4 2 2 2" xfId="21214"/>
    <cellStyle name="40% - 강조색4 3 4 2 3" xfId="7528"/>
    <cellStyle name="40% - 강조색4 3 4 2 3 2" xfId="18776"/>
    <cellStyle name="40% - 강조색4 3 4 2 4" xfId="16338"/>
    <cellStyle name="40% - 강조색4 3 4 3" xfId="8976"/>
    <cellStyle name="40% - 강조색4 3 4 3 2" xfId="20224"/>
    <cellStyle name="40% - 강조색4 3 4 4" xfId="6538"/>
    <cellStyle name="40% - 강조색4 3 4 4 2" xfId="17786"/>
    <cellStyle name="40% - 강조색4 3 4 5" xfId="15348"/>
    <cellStyle name="40% - 강조색4 3 5" xfId="4506"/>
    <cellStyle name="40% - 강조색4 3 5 2" xfId="5496"/>
    <cellStyle name="40% - 강조색4 3 5 2 2" xfId="10373"/>
    <cellStyle name="40% - 강조색4 3 5 2 2 2" xfId="21621"/>
    <cellStyle name="40% - 강조색4 3 5 2 3" xfId="7935"/>
    <cellStyle name="40% - 강조색4 3 5 2 3 2" xfId="19183"/>
    <cellStyle name="40% - 강조색4 3 5 2 4" xfId="16745"/>
    <cellStyle name="40% - 강조색4 3 5 3" xfId="9383"/>
    <cellStyle name="40% - 강조색4 3 5 3 2" xfId="20631"/>
    <cellStyle name="40% - 강조색4 3 5 4" xfId="6945"/>
    <cellStyle name="40% - 강조색4 3 5 4 2" xfId="18193"/>
    <cellStyle name="40% - 강조색4 3 5 5" xfId="15755"/>
    <cellStyle name="40% - 강조색4 3 6" xfId="4637"/>
    <cellStyle name="40% - 강조색4 3 6 2" xfId="9514"/>
    <cellStyle name="40% - 강조색4 3 6 2 2" xfId="20762"/>
    <cellStyle name="40% - 강조색4 3 6 3" xfId="7076"/>
    <cellStyle name="40% - 강조색4 3 6 3 2" xfId="18324"/>
    <cellStyle name="40% - 강조색4 3 6 4" xfId="15886"/>
    <cellStyle name="40% - 강조색4 3 7" xfId="5580"/>
    <cellStyle name="40% - 강조색4 3 7 2" xfId="10457"/>
    <cellStyle name="40% - 강조색4 3 7 2 2" xfId="21705"/>
    <cellStyle name="40% - 강조색4 3 7 3" xfId="8019"/>
    <cellStyle name="40% - 강조색4 3 7 3 2" xfId="19267"/>
    <cellStyle name="40% - 강조색4 3 7 4" xfId="16829"/>
    <cellStyle name="40% - 강조색4 3 8" xfId="5686"/>
    <cellStyle name="40% - 강조색4 3 8 2" xfId="10563"/>
    <cellStyle name="40% - 강조색4 3 8 2 2" xfId="21811"/>
    <cellStyle name="40% - 강조색4 3 8 3" xfId="8125"/>
    <cellStyle name="40% - 강조색4 3 8 3 2" xfId="19373"/>
    <cellStyle name="40% - 강조색4 3 8 4" xfId="16935"/>
    <cellStyle name="40% - 강조색4 3 9" xfId="5769"/>
    <cellStyle name="40% - 강조색4 3 9 2" xfId="10646"/>
    <cellStyle name="40% - 강조색4 3 9 2 2" xfId="21894"/>
    <cellStyle name="40% - 강조색4 3 9 3" xfId="8208"/>
    <cellStyle name="40% - 강조색4 3 9 3 2" xfId="19456"/>
    <cellStyle name="40% - 강조색4 3 9 4" xfId="17018"/>
    <cellStyle name="40% - 강조색4 4" xfId="1384"/>
    <cellStyle name="40% - 강조색5" xfId="11" builtinId="47" customBuiltin="1"/>
    <cellStyle name="40% - 강조색5 2" xfId="127"/>
    <cellStyle name="40% - 강조색5 3" xfId="653"/>
    <cellStyle name="40% - 강조색6" xfId="12" builtinId="51" customBuiltin="1"/>
    <cellStyle name="40% - 강조색6 2" xfId="128"/>
    <cellStyle name="40% - 강조색6 3" xfId="654"/>
    <cellStyle name="60% - 강조색1" xfId="13" builtinId="32" customBuiltin="1"/>
    <cellStyle name="60% - 강조색1 2" xfId="129"/>
    <cellStyle name="60% - 강조색1 3" xfId="655"/>
    <cellStyle name="60% - 강조색2" xfId="14" builtinId="36" customBuiltin="1"/>
    <cellStyle name="60% - 강조색2 2" xfId="130"/>
    <cellStyle name="60% - 강조색2 3" xfId="656"/>
    <cellStyle name="60% - 강조색3" xfId="15" builtinId="40" customBuiltin="1"/>
    <cellStyle name="60% - 강조색3 2" xfId="131"/>
    <cellStyle name="60% - 강조색3 3" xfId="657"/>
    <cellStyle name="60% - 강조색4" xfId="16" builtinId="44" customBuiltin="1"/>
    <cellStyle name="60% - 강조색4 2" xfId="132"/>
    <cellStyle name="60% - 강조색4 3" xfId="658"/>
    <cellStyle name="60% - 강조색5" xfId="17" builtinId="48" customBuiltin="1"/>
    <cellStyle name="60% - 강조색5 2" xfId="133"/>
    <cellStyle name="60% - 강조색5 3" xfId="659"/>
    <cellStyle name="60% - 강조색6" xfId="18" builtinId="52" customBuiltin="1"/>
    <cellStyle name="60% - 강조색6 2" xfId="134"/>
    <cellStyle name="60% - 강조색6 3" xfId="660"/>
    <cellStyle name="강조색1" xfId="19" builtinId="29" customBuiltin="1"/>
    <cellStyle name="강조색1 2" xfId="135"/>
    <cellStyle name="강조색1 3" xfId="661"/>
    <cellStyle name="강조색2" xfId="20" builtinId="33" customBuiltin="1"/>
    <cellStyle name="강조색2 2" xfId="136"/>
    <cellStyle name="강조색2 3" xfId="662"/>
    <cellStyle name="강조색3" xfId="21" builtinId="37" customBuiltin="1"/>
    <cellStyle name="강조색3 2" xfId="137"/>
    <cellStyle name="강조색3 3" xfId="663"/>
    <cellStyle name="강조색4" xfId="22" builtinId="41" customBuiltin="1"/>
    <cellStyle name="강조색4 2" xfId="138"/>
    <cellStyle name="강조색4 3" xfId="664"/>
    <cellStyle name="강조색5" xfId="23" builtinId="45" customBuiltin="1"/>
    <cellStyle name="강조색5 2" xfId="139"/>
    <cellStyle name="강조색5 3" xfId="665"/>
    <cellStyle name="강조색6" xfId="24" builtinId="49" customBuiltin="1"/>
    <cellStyle name="강조색6 2" xfId="140"/>
    <cellStyle name="강조색6 3" xfId="666"/>
    <cellStyle name="경고문" xfId="25" builtinId="11" customBuiltin="1"/>
    <cellStyle name="경고문 2" xfId="141"/>
    <cellStyle name="경고문 3" xfId="667"/>
    <cellStyle name="계산" xfId="26" builtinId="22" customBuiltin="1"/>
    <cellStyle name="계산 2" xfId="142"/>
    <cellStyle name="계산 3" xfId="668"/>
    <cellStyle name="계산 3 2" xfId="733"/>
    <cellStyle name="계산 4" xfId="1403"/>
    <cellStyle name="나쁨" xfId="27" builtinId="27" hidden="1" customBuiltin="1"/>
    <cellStyle name="나쁨" xfId="822" builtinId="27" hidden="1" customBuiltin="1"/>
    <cellStyle name="나쁨" xfId="819" builtinId="27" hidden="1" customBuiltin="1"/>
    <cellStyle name="나쁨" xfId="818" builtinId="27" hidden="1" customBuiltin="1"/>
    <cellStyle name="나쁨" xfId="820" builtinId="27" hidden="1" customBuiltin="1"/>
    <cellStyle name="나쁨" xfId="817" builtinId="27" hidden="1" customBuiltin="1"/>
    <cellStyle name="나쁨" xfId="821" builtinId="27" hidden="1" customBuiltin="1"/>
    <cellStyle name="나쁨" xfId="748" builtinId="27" hidden="1" customBuiltin="1"/>
    <cellStyle name="나쁨" xfId="845" builtinId="27" hidden="1" customBuiltin="1"/>
    <cellStyle name="나쁨" xfId="842" builtinId="27" hidden="1" customBuiltin="1"/>
    <cellStyle name="나쁨" xfId="841" builtinId="27" hidden="1" customBuiltin="1"/>
    <cellStyle name="나쁨" xfId="843" builtinId="27" hidden="1" customBuiltin="1"/>
    <cellStyle name="나쁨" xfId="840" builtinId="27" hidden="1" customBuiltin="1"/>
    <cellStyle name="나쁨" xfId="844" builtinId="27" hidden="1" customBuiltin="1"/>
    <cellStyle name="나쁨" xfId="839" builtinId="27" hidden="1" customBuiltin="1"/>
    <cellStyle name="나쁨" xfId="750" builtinId="27" hidden="1" customBuiltin="1"/>
    <cellStyle name="나쁨" xfId="724" builtinId="27" hidden="1" customBuiltin="1"/>
    <cellStyle name="나쁨" xfId="744" builtinId="27" hidden="1" customBuiltin="1"/>
    <cellStyle name="나쁨" xfId="747" builtinId="27" hidden="1" customBuiltin="1"/>
    <cellStyle name="나쁨" xfId="749" builtinId="27" hidden="1" customBuiltin="1"/>
    <cellStyle name="나쁨" xfId="715" builtinId="27" hidden="1" customBuiltin="1"/>
    <cellStyle name="나쁨" xfId="743" builtinId="27" hidden="1" customBuiltin="1"/>
    <cellStyle name="나쁨" xfId="746" builtinId="27" hidden="1" customBuiltin="1"/>
    <cellStyle name="나쁨" xfId="745" builtinId="27" hidden="1" customBuiltin="1"/>
    <cellStyle name="나쁨" xfId="831" builtinId="27" hidden="1" customBuiltin="1"/>
    <cellStyle name="나쁨" xfId="830" builtinId="27" hidden="1" customBuiltin="1"/>
    <cellStyle name="나쁨" xfId="848" builtinId="27" hidden="1" customBuiltin="1"/>
    <cellStyle name="나쁨" xfId="832" builtinId="27" hidden="1" customBuiltin="1"/>
    <cellStyle name="나쁨" xfId="846" builtinId="27" hidden="1" customBuiltin="1"/>
    <cellStyle name="나쁨" xfId="834" builtinId="27" hidden="1" customBuiltin="1"/>
    <cellStyle name="나쁨" xfId="833" builtinId="27" hidden="1" customBuiltin="1"/>
    <cellStyle name="나쁨" xfId="717" builtinId="27" hidden="1" customBuiltin="1"/>
    <cellStyle name="나쁨" xfId="716" builtinId="27" hidden="1" customBuiltin="1"/>
    <cellStyle name="나쁨" xfId="850" builtinId="27" hidden="1" customBuiltin="1"/>
    <cellStyle name="나쁨" xfId="718" builtinId="27" hidden="1" customBuiltin="1"/>
    <cellStyle name="나쁨" xfId="849" builtinId="27" hidden="1" customBuiltin="1"/>
    <cellStyle name="나쁨" xfId="720" builtinId="27" hidden="1" customBuiltin="1"/>
    <cellStyle name="나쁨" xfId="719" builtinId="27" hidden="1" customBuiltin="1"/>
    <cellStyle name="나쁨" xfId="837" builtinId="27" hidden="1" customBuiltin="1"/>
    <cellStyle name="나쁨" xfId="836" builtinId="27" hidden="1" customBuiltin="1"/>
    <cellStyle name="나쁨" xfId="852" builtinId="27" hidden="1" customBuiltin="1"/>
    <cellStyle name="나쁨" xfId="835" builtinId="27" hidden="1" customBuiltin="1"/>
    <cellStyle name="나쁨" xfId="851" builtinId="27" hidden="1" customBuiltin="1"/>
    <cellStyle name="나쁨" xfId="838" builtinId="27" hidden="1" customBuiltin="1"/>
    <cellStyle name="나쁨" xfId="847" builtinId="27" hidden="1" customBuiltin="1"/>
    <cellStyle name="나쁨" xfId="723" builtinId="27" hidden="1" customBuiltin="1"/>
    <cellStyle name="나쁨" xfId="722" builtinId="27" hidden="1" customBuiltin="1"/>
    <cellStyle name="나쁨" xfId="853" builtinId="27" hidden="1" customBuiltin="1"/>
    <cellStyle name="나쁨" xfId="721" builtinId="27" hidden="1" customBuiltin="1"/>
    <cellStyle name="나쁨" xfId="632" builtinId="27" hidden="1" customBuiltin="1"/>
    <cellStyle name="나쁨" xfId="885" builtinId="27" hidden="1" customBuiltin="1"/>
    <cellStyle name="나쁨" xfId="882" builtinId="27" hidden="1" customBuiltin="1"/>
    <cellStyle name="나쁨" xfId="881" builtinId="27" hidden="1" customBuiltin="1"/>
    <cellStyle name="나쁨" xfId="883" builtinId="27" hidden="1" customBuiltin="1"/>
    <cellStyle name="나쁨" xfId="880" builtinId="27" hidden="1" customBuiltin="1"/>
    <cellStyle name="나쁨" xfId="884" builtinId="27" hidden="1" customBuiltin="1"/>
    <cellStyle name="나쁨" xfId="877" builtinId="27" hidden="1" customBuiltin="1"/>
    <cellStyle name="나쁨" xfId="901" builtinId="27" hidden="1" customBuiltin="1"/>
    <cellStyle name="나쁨" xfId="898" builtinId="27" hidden="1" customBuiltin="1"/>
    <cellStyle name="나쁨" xfId="897" builtinId="27" hidden="1" customBuiltin="1"/>
    <cellStyle name="나쁨" xfId="899" builtinId="27" hidden="1" customBuiltin="1"/>
    <cellStyle name="나쁨" xfId="896" builtinId="27" hidden="1" customBuiltin="1"/>
    <cellStyle name="나쁨" xfId="900" builtinId="27" hidden="1" customBuiltin="1"/>
    <cellStyle name="나쁨" xfId="895" builtinId="27" hidden="1" customBuiltin="1"/>
    <cellStyle name="나쁨" xfId="879" builtinId="27" hidden="1" customBuiltin="1"/>
    <cellStyle name="나쁨" xfId="870" builtinId="27" hidden="1" customBuiltin="1"/>
    <cellStyle name="나쁨" xfId="873" builtinId="27" hidden="1" customBuiltin="1"/>
    <cellStyle name="나쁨" xfId="876" builtinId="27" hidden="1" customBuiltin="1"/>
    <cellStyle name="나쁨" xfId="878" builtinId="27" hidden="1" customBuiltin="1"/>
    <cellStyle name="나쁨" xfId="861" builtinId="27" hidden="1" customBuiltin="1"/>
    <cellStyle name="나쁨" xfId="872" builtinId="27" hidden="1" customBuiltin="1"/>
    <cellStyle name="나쁨" xfId="875" builtinId="27" hidden="1" customBuiltin="1"/>
    <cellStyle name="나쁨" xfId="874" builtinId="27" hidden="1" customBuiltin="1"/>
    <cellStyle name="나쁨" xfId="887" builtinId="27" hidden="1" customBuiltin="1"/>
    <cellStyle name="나쁨" xfId="886" builtinId="27" hidden="1" customBuiltin="1"/>
    <cellStyle name="나쁨" xfId="904" builtinId="27" hidden="1" customBuiltin="1"/>
    <cellStyle name="나쁨" xfId="888" builtinId="27" hidden="1" customBuiltin="1"/>
    <cellStyle name="나쁨" xfId="902" builtinId="27" hidden="1" customBuiltin="1"/>
    <cellStyle name="나쁨" xfId="890" builtinId="27" hidden="1" customBuiltin="1"/>
    <cellStyle name="나쁨" xfId="889" builtinId="27" hidden="1" customBuiltin="1"/>
    <cellStyle name="나쁨" xfId="863" builtinId="27" hidden="1" customBuiltin="1"/>
    <cellStyle name="나쁨" xfId="862" builtinId="27" hidden="1" customBuiltin="1"/>
    <cellStyle name="나쁨" xfId="906" builtinId="27" hidden="1" customBuiltin="1"/>
    <cellStyle name="나쁨" xfId="864" builtinId="27" hidden="1" customBuiltin="1"/>
    <cellStyle name="나쁨" xfId="905" builtinId="27" hidden="1" customBuiltin="1"/>
    <cellStyle name="나쁨" xfId="866" builtinId="27" hidden="1" customBuiltin="1"/>
    <cellStyle name="나쁨" xfId="865" builtinId="27" hidden="1" customBuiltin="1"/>
    <cellStyle name="나쁨" xfId="893" builtinId="27" hidden="1" customBuiltin="1"/>
    <cellStyle name="나쁨" xfId="892" builtinId="27" hidden="1" customBuiltin="1"/>
    <cellStyle name="나쁨" xfId="908" builtinId="27" hidden="1" customBuiltin="1"/>
    <cellStyle name="나쁨" xfId="891" builtinId="27" hidden="1" customBuiltin="1"/>
    <cellStyle name="나쁨" xfId="907" builtinId="27" hidden="1" customBuiltin="1"/>
    <cellStyle name="나쁨" xfId="894" builtinId="27" hidden="1" customBuiltin="1"/>
    <cellStyle name="나쁨" xfId="903" builtinId="27" hidden="1" customBuiltin="1"/>
    <cellStyle name="나쁨" xfId="869" builtinId="27" hidden="1" customBuiltin="1"/>
    <cellStyle name="나쁨" xfId="868" builtinId="27" hidden="1" customBuiltin="1"/>
    <cellStyle name="나쁨" xfId="909" builtinId="27" hidden="1" customBuiltin="1"/>
    <cellStyle name="나쁨" xfId="867" builtinId="27" hidden="1" customBuiltin="1"/>
    <cellStyle name="나쁨" xfId="860" builtinId="27" hidden="1" customBuiltin="1"/>
    <cellStyle name="나쁨" xfId="915" builtinId="27" hidden="1" customBuiltin="1"/>
    <cellStyle name="나쁨" xfId="912" builtinId="27" hidden="1" customBuiltin="1"/>
    <cellStyle name="나쁨" xfId="911" builtinId="27" hidden="1" customBuiltin="1"/>
    <cellStyle name="나쁨" xfId="913" builtinId="27" hidden="1" customBuiltin="1"/>
    <cellStyle name="나쁨" xfId="910" builtinId="27" hidden="1" customBuiltin="1"/>
    <cellStyle name="나쁨" xfId="914" builtinId="27" hidden="1" customBuiltin="1"/>
    <cellStyle name="나쁨" xfId="856" builtinId="27" hidden="1" customBuiltin="1"/>
    <cellStyle name="나쁨" xfId="931" builtinId="27" hidden="1" customBuiltin="1"/>
    <cellStyle name="나쁨" xfId="928" builtinId="27" hidden="1" customBuiltin="1"/>
    <cellStyle name="나쁨" xfId="927" builtinId="27" hidden="1" customBuiltin="1"/>
    <cellStyle name="나쁨" xfId="929" builtinId="27" hidden="1" customBuiltin="1"/>
    <cellStyle name="나쁨" xfId="926" builtinId="27" hidden="1" customBuiltin="1"/>
    <cellStyle name="나쁨" xfId="930" builtinId="27" hidden="1" customBuiltin="1"/>
    <cellStyle name="나쁨" xfId="925" builtinId="27" hidden="1" customBuiltin="1"/>
    <cellStyle name="나쁨" xfId="605" builtinId="27" hidden="1" customBuiltin="1"/>
    <cellStyle name="나쁨" xfId="858" builtinId="27" hidden="1" customBuiltin="1"/>
    <cellStyle name="나쁨" xfId="604" builtinId="27" hidden="1" customBuiltin="1"/>
    <cellStyle name="나쁨" xfId="633" builtinId="27" hidden="1" customBuiltin="1"/>
    <cellStyle name="나쁨" xfId="630" builtinId="27" hidden="1" customBuiltin="1"/>
    <cellStyle name="나쁨" xfId="599" builtinId="27" hidden="1" customBuiltin="1"/>
    <cellStyle name="나쁨" xfId="854" builtinId="27" hidden="1" customBuiltin="1"/>
    <cellStyle name="나쁨" xfId="598" builtinId="27" hidden="1" customBuiltin="1"/>
    <cellStyle name="나쁨" xfId="857" builtinId="27" hidden="1" customBuiltin="1"/>
    <cellStyle name="나쁨" xfId="917" builtinId="27" hidden="1" customBuiltin="1"/>
    <cellStyle name="나쁨" xfId="916" builtinId="27" hidden="1" customBuiltin="1"/>
    <cellStyle name="나쁨" xfId="934" builtinId="27" hidden="1" customBuiltin="1"/>
    <cellStyle name="나쁨" xfId="918" builtinId="27" hidden="1" customBuiltin="1"/>
    <cellStyle name="나쁨" xfId="932" builtinId="27" hidden="1" customBuiltin="1"/>
    <cellStyle name="나쁨" xfId="920" builtinId="27" hidden="1" customBuiltin="1"/>
    <cellStyle name="나쁨" xfId="919" builtinId="27" hidden="1" customBuiltin="1"/>
    <cellStyle name="나쁨" xfId="601" builtinId="27" hidden="1" customBuiltin="1"/>
    <cellStyle name="나쁨" xfId="600" builtinId="27" hidden="1" customBuiltin="1"/>
    <cellStyle name="나쁨" xfId="936" builtinId="27" hidden="1" customBuiltin="1"/>
    <cellStyle name="나쁨" xfId="602" builtinId="27" hidden="1" customBuiltin="1"/>
    <cellStyle name="나쁨" xfId="935" builtinId="27" hidden="1" customBuiltin="1"/>
    <cellStyle name="나쁨" xfId="603" builtinId="27" hidden="1" customBuiltin="1"/>
    <cellStyle name="나쁨" xfId="631" builtinId="27" hidden="1" customBuiltin="1"/>
    <cellStyle name="나쁨" xfId="923" builtinId="27" hidden="1" customBuiltin="1"/>
    <cellStyle name="나쁨" xfId="922" builtinId="27" hidden="1" customBuiltin="1"/>
    <cellStyle name="나쁨" xfId="938" builtinId="27" hidden="1" customBuiltin="1"/>
    <cellStyle name="나쁨" xfId="921" builtinId="27" hidden="1" customBuiltin="1"/>
    <cellStyle name="나쁨" xfId="937" builtinId="27" hidden="1" customBuiltin="1"/>
    <cellStyle name="나쁨" xfId="924" builtinId="27" hidden="1" customBuiltin="1"/>
    <cellStyle name="나쁨" xfId="933" builtinId="27" hidden="1" customBuiltin="1"/>
    <cellStyle name="나쁨" xfId="871" builtinId="27" hidden="1" customBuiltin="1"/>
    <cellStyle name="나쁨" xfId="855" builtinId="27" hidden="1" customBuiltin="1"/>
    <cellStyle name="나쁨" xfId="939" builtinId="27" hidden="1" customBuiltin="1"/>
    <cellStyle name="나쁨" xfId="859" builtinId="27" hidden="1" customBuiltin="1"/>
    <cellStyle name="나쁨" xfId="941" builtinId="27" hidden="1" customBuiltin="1"/>
    <cellStyle name="나쁨" xfId="2446" builtinId="27" hidden="1" customBuiltin="1"/>
    <cellStyle name="나쁨" xfId="2443" builtinId="27" hidden="1" customBuiltin="1"/>
    <cellStyle name="나쁨" xfId="2442" builtinId="27" hidden="1" customBuiltin="1"/>
    <cellStyle name="나쁨" xfId="2444" builtinId="27" hidden="1" customBuiltin="1"/>
    <cellStyle name="나쁨" xfId="2441" builtinId="27" hidden="1" customBuiltin="1"/>
    <cellStyle name="나쁨" xfId="2445" builtinId="27" hidden="1" customBuiltin="1"/>
    <cellStyle name="나쁨" xfId="2375" builtinId="27" hidden="1" customBuiltin="1"/>
    <cellStyle name="나쁨" xfId="2469" builtinId="27" hidden="1" customBuiltin="1"/>
    <cellStyle name="나쁨" xfId="2466" builtinId="27" hidden="1" customBuiltin="1"/>
    <cellStyle name="나쁨" xfId="2465" builtinId="27" hidden="1" customBuiltin="1"/>
    <cellStyle name="나쁨" xfId="2467" builtinId="27" hidden="1" customBuiltin="1"/>
    <cellStyle name="나쁨" xfId="2464" builtinId="27" hidden="1" customBuiltin="1"/>
    <cellStyle name="나쁨" xfId="2468" builtinId="27" hidden="1" customBuiltin="1"/>
    <cellStyle name="나쁨" xfId="2463" builtinId="27" hidden="1" customBuiltin="1"/>
    <cellStyle name="나쁨" xfId="2377" builtinId="27" hidden="1" customBuiltin="1"/>
    <cellStyle name="나쁨" xfId="2356" builtinId="27" hidden="1" customBuiltin="1"/>
    <cellStyle name="나쁨" xfId="2371" builtinId="27" hidden="1" customBuiltin="1"/>
    <cellStyle name="나쁨" xfId="2374" builtinId="27" hidden="1" customBuiltin="1"/>
    <cellStyle name="나쁨" xfId="2376" builtinId="27" hidden="1" customBuiltin="1"/>
    <cellStyle name="나쁨" xfId="2347" builtinId="27" hidden="1" customBuiltin="1"/>
    <cellStyle name="나쁨" xfId="2370" builtinId="27" hidden="1" customBuiltin="1"/>
    <cellStyle name="나쁨" xfId="2373" builtinId="27" hidden="1" customBuiltin="1"/>
    <cellStyle name="나쁨" xfId="2372" builtinId="27" hidden="1" customBuiltin="1"/>
    <cellStyle name="나쁨" xfId="2455" builtinId="27" hidden="1" customBuiltin="1"/>
    <cellStyle name="나쁨" xfId="2454" builtinId="27" hidden="1" customBuiltin="1"/>
    <cellStyle name="나쁨" xfId="2472" builtinId="27" hidden="1" customBuiltin="1"/>
    <cellStyle name="나쁨" xfId="2456" builtinId="27" hidden="1" customBuiltin="1"/>
    <cellStyle name="나쁨" xfId="2470" builtinId="27" hidden="1" customBuiltin="1"/>
    <cellStyle name="나쁨" xfId="2458" builtinId="27" hidden="1" customBuiltin="1"/>
    <cellStyle name="나쁨" xfId="2457" builtinId="27" hidden="1" customBuiltin="1"/>
    <cellStyle name="나쁨" xfId="2349" builtinId="27" hidden="1" customBuiltin="1"/>
    <cellStyle name="나쁨" xfId="2348" builtinId="27" hidden="1" customBuiltin="1"/>
    <cellStyle name="나쁨" xfId="2474" builtinId="27" hidden="1" customBuiltin="1"/>
    <cellStyle name="나쁨" xfId="2350" builtinId="27" hidden="1" customBuiltin="1"/>
    <cellStyle name="나쁨" xfId="2473" builtinId="27" hidden="1" customBuiltin="1"/>
    <cellStyle name="나쁨" xfId="2352" builtinId="27" hidden="1" customBuiltin="1"/>
    <cellStyle name="나쁨" xfId="2351" builtinId="27" hidden="1" customBuiltin="1"/>
    <cellStyle name="나쁨" xfId="2461" builtinId="27" hidden="1" customBuiltin="1"/>
    <cellStyle name="나쁨" xfId="2460" builtinId="27" hidden="1" customBuiltin="1"/>
    <cellStyle name="나쁨" xfId="2476" builtinId="27" hidden="1" customBuiltin="1"/>
    <cellStyle name="나쁨" xfId="2459" builtinId="27" hidden="1" customBuiltin="1"/>
    <cellStyle name="나쁨" xfId="2475" builtinId="27" hidden="1" customBuiltin="1"/>
    <cellStyle name="나쁨" xfId="2462" builtinId="27" hidden="1" customBuiltin="1"/>
    <cellStyle name="나쁨" xfId="2471" builtinId="27" hidden="1" customBuiltin="1"/>
    <cellStyle name="나쁨" xfId="2355" builtinId="27" hidden="1" customBuiltin="1"/>
    <cellStyle name="나쁨" xfId="2354" builtinId="27" hidden="1" customBuiltin="1"/>
    <cellStyle name="나쁨" xfId="2477" builtinId="27" hidden="1" customBuiltin="1"/>
    <cellStyle name="나쁨" xfId="2353" builtinId="27" hidden="1" customBuiltin="1"/>
    <cellStyle name="나쁨" xfId="2303" builtinId="27" hidden="1" customBuiltin="1"/>
    <cellStyle name="나쁨" xfId="2509" builtinId="27" hidden="1" customBuiltin="1"/>
    <cellStyle name="나쁨" xfId="2506" builtinId="27" hidden="1" customBuiltin="1"/>
    <cellStyle name="나쁨" xfId="2505" builtinId="27" hidden="1" customBuiltin="1"/>
    <cellStyle name="나쁨" xfId="2507" builtinId="27" hidden="1" customBuiltin="1"/>
    <cellStyle name="나쁨" xfId="2504" builtinId="27" hidden="1" customBuiltin="1"/>
    <cellStyle name="나쁨" xfId="2508" builtinId="27" hidden="1" customBuiltin="1"/>
    <cellStyle name="나쁨" xfId="2501" builtinId="27" hidden="1" customBuiltin="1"/>
    <cellStyle name="나쁨" xfId="2525" builtinId="27" hidden="1" customBuiltin="1"/>
    <cellStyle name="나쁨" xfId="2522" builtinId="27" hidden="1" customBuiltin="1"/>
    <cellStyle name="나쁨" xfId="2521" builtinId="27" hidden="1" customBuiltin="1"/>
    <cellStyle name="나쁨" xfId="2523" builtinId="27" hidden="1" customBuiltin="1"/>
    <cellStyle name="나쁨" xfId="2520" builtinId="27" hidden="1" customBuiltin="1"/>
    <cellStyle name="나쁨" xfId="2524" builtinId="27" hidden="1" customBuiltin="1"/>
    <cellStyle name="나쁨" xfId="2519" builtinId="27" hidden="1" customBuiltin="1"/>
    <cellStyle name="나쁨" xfId="2503" builtinId="27" hidden="1" customBuiltin="1"/>
    <cellStyle name="나쁨" xfId="2494" builtinId="27" hidden="1" customBuiltin="1"/>
    <cellStyle name="나쁨" xfId="2497" builtinId="27" hidden="1" customBuiltin="1"/>
    <cellStyle name="나쁨" xfId="2500" builtinId="27" hidden="1" customBuiltin="1"/>
    <cellStyle name="나쁨" xfId="2502" builtinId="27" hidden="1" customBuiltin="1"/>
    <cellStyle name="나쁨" xfId="2485" builtinId="27" hidden="1" customBuiltin="1"/>
    <cellStyle name="나쁨" xfId="2496" builtinId="27" hidden="1" customBuiltin="1"/>
    <cellStyle name="나쁨" xfId="2499" builtinId="27" hidden="1" customBuiltin="1"/>
    <cellStyle name="나쁨" xfId="2498" builtinId="27" hidden="1" customBuiltin="1"/>
    <cellStyle name="나쁨" xfId="2511" builtinId="27" hidden="1" customBuiltin="1"/>
    <cellStyle name="나쁨" xfId="2510" builtinId="27" hidden="1" customBuiltin="1"/>
    <cellStyle name="나쁨" xfId="2528" builtinId="27" hidden="1" customBuiltin="1"/>
    <cellStyle name="나쁨" xfId="2512" builtinId="27" hidden="1" customBuiltin="1"/>
    <cellStyle name="나쁨" xfId="2526" builtinId="27" hidden="1" customBuiltin="1"/>
    <cellStyle name="나쁨" xfId="2514" builtinId="27" hidden="1" customBuiltin="1"/>
    <cellStyle name="나쁨" xfId="2513" builtinId="27" hidden="1" customBuiltin="1"/>
    <cellStyle name="나쁨" xfId="2487" builtinId="27" hidden="1" customBuiltin="1"/>
    <cellStyle name="나쁨" xfId="2486" builtinId="27" hidden="1" customBuiltin="1"/>
    <cellStyle name="나쁨" xfId="2530" builtinId="27" hidden="1" customBuiltin="1"/>
    <cellStyle name="나쁨" xfId="2488" builtinId="27" hidden="1" customBuiltin="1"/>
    <cellStyle name="나쁨" xfId="2529" builtinId="27" hidden="1" customBuiltin="1"/>
    <cellStyle name="나쁨" xfId="2490" builtinId="27" hidden="1" customBuiltin="1"/>
    <cellStyle name="나쁨" xfId="2489" builtinId="27" hidden="1" customBuiltin="1"/>
    <cellStyle name="나쁨" xfId="2517" builtinId="27" hidden="1" customBuiltin="1"/>
    <cellStyle name="나쁨" xfId="2516" builtinId="27" hidden="1" customBuiltin="1"/>
    <cellStyle name="나쁨" xfId="2532" builtinId="27" hidden="1" customBuiltin="1"/>
    <cellStyle name="나쁨" xfId="2515" builtinId="27" hidden="1" customBuiltin="1"/>
    <cellStyle name="나쁨" xfId="2531" builtinId="27" hidden="1" customBuiltin="1"/>
    <cellStyle name="나쁨" xfId="2518" builtinId="27" hidden="1" customBuiltin="1"/>
    <cellStyle name="나쁨" xfId="2527" builtinId="27" hidden="1" customBuiltin="1"/>
    <cellStyle name="나쁨" xfId="2493" builtinId="27" hidden="1" customBuiltin="1"/>
    <cellStyle name="나쁨" xfId="2492" builtinId="27" hidden="1" customBuiltin="1"/>
    <cellStyle name="나쁨" xfId="2533" builtinId="27" hidden="1" customBuiltin="1"/>
    <cellStyle name="나쁨" xfId="2491" builtinId="27" hidden="1" customBuiltin="1"/>
    <cellStyle name="나쁨" xfId="2484" builtinId="27" hidden="1" customBuiltin="1"/>
    <cellStyle name="나쁨" xfId="2539" builtinId="27" hidden="1" customBuiltin="1"/>
    <cellStyle name="나쁨" xfId="2536" builtinId="27" hidden="1" customBuiltin="1"/>
    <cellStyle name="나쁨" xfId="2535" builtinId="27" hidden="1" customBuiltin="1"/>
    <cellStyle name="나쁨" xfId="2537" builtinId="27" hidden="1" customBuiltin="1"/>
    <cellStyle name="나쁨" xfId="2534" builtinId="27" hidden="1" customBuiltin="1"/>
    <cellStyle name="나쁨" xfId="2538" builtinId="27" hidden="1" customBuiltin="1"/>
    <cellStyle name="나쁨" xfId="2480" builtinId="27" hidden="1" customBuiltin="1"/>
    <cellStyle name="나쁨" xfId="2555" builtinId="27" hidden="1" customBuiltin="1"/>
    <cellStyle name="나쁨" xfId="2552" builtinId="27" hidden="1" customBuiltin="1"/>
    <cellStyle name="나쁨" xfId="2551" builtinId="27" hidden="1" customBuiltin="1"/>
    <cellStyle name="나쁨" xfId="2553" builtinId="27" hidden="1" customBuiltin="1"/>
    <cellStyle name="나쁨" xfId="2550" builtinId="27" hidden="1" customBuiltin="1"/>
    <cellStyle name="나쁨" xfId="2554" builtinId="27" hidden="1" customBuiltin="1"/>
    <cellStyle name="나쁨" xfId="2549" builtinId="27" hidden="1" customBuiltin="1"/>
    <cellStyle name="나쁨" xfId="2277" builtinId="27" hidden="1" customBuiltin="1"/>
    <cellStyle name="나쁨" xfId="2482" builtinId="27" hidden="1" customBuiltin="1"/>
    <cellStyle name="나쁨" xfId="2276" builtinId="27" hidden="1" customBuiltin="1"/>
    <cellStyle name="나쁨" xfId="2304" builtinId="27" hidden="1" customBuiltin="1"/>
    <cellStyle name="나쁨" xfId="2301" builtinId="27" hidden="1" customBuiltin="1"/>
    <cellStyle name="나쁨" xfId="2271" builtinId="27" hidden="1" customBuiltin="1"/>
    <cellStyle name="나쁨" xfId="2478" builtinId="27" hidden="1" customBuiltin="1"/>
    <cellStyle name="나쁨" xfId="2270" builtinId="27" hidden="1" customBuiltin="1"/>
    <cellStyle name="나쁨" xfId="2481" builtinId="27" hidden="1" customBuiltin="1"/>
    <cellStyle name="나쁨" xfId="2541" builtinId="27" hidden="1" customBuiltin="1"/>
    <cellStyle name="나쁨" xfId="2540" builtinId="27" hidden="1" customBuiltin="1"/>
    <cellStyle name="나쁨" xfId="2558" builtinId="27" hidden="1" customBuiltin="1"/>
    <cellStyle name="나쁨" xfId="2542" builtinId="27" hidden="1" customBuiltin="1"/>
    <cellStyle name="나쁨" xfId="2556" builtinId="27" hidden="1" customBuiltin="1"/>
    <cellStyle name="나쁨" xfId="2544" builtinId="27" hidden="1" customBuiltin="1"/>
    <cellStyle name="나쁨" xfId="2543" builtinId="27" hidden="1" customBuiltin="1"/>
    <cellStyle name="나쁨" xfId="2273" builtinId="27" hidden="1" customBuiltin="1"/>
    <cellStyle name="나쁨" xfId="2272" builtinId="27" hidden="1" customBuiltin="1"/>
    <cellStyle name="나쁨" xfId="2560" builtinId="27" hidden="1" customBuiltin="1"/>
    <cellStyle name="나쁨" xfId="2274" builtinId="27" hidden="1" customBuiltin="1"/>
    <cellStyle name="나쁨" xfId="2559" builtinId="27" hidden="1" customBuiltin="1"/>
    <cellStyle name="나쁨" xfId="2275" builtinId="27" hidden="1" customBuiltin="1"/>
    <cellStyle name="나쁨" xfId="2302" builtinId="27" hidden="1" customBuiltin="1"/>
    <cellStyle name="나쁨" xfId="2547" builtinId="27" hidden="1" customBuiltin="1"/>
    <cellStyle name="나쁨" xfId="2546" builtinId="27" hidden="1" customBuiltin="1"/>
    <cellStyle name="나쁨" xfId="2562" builtinId="27" hidden="1" customBuiltin="1"/>
    <cellStyle name="나쁨" xfId="2545" builtinId="27" hidden="1" customBuiltin="1"/>
    <cellStyle name="나쁨" xfId="2561" builtinId="27" hidden="1" customBuiltin="1"/>
    <cellStyle name="나쁨" xfId="2548" builtinId="27" hidden="1" customBuiltin="1"/>
    <cellStyle name="나쁨" xfId="2557" builtinId="27" hidden="1" customBuiltin="1"/>
    <cellStyle name="나쁨" xfId="2495" builtinId="27" hidden="1" customBuiltin="1"/>
    <cellStyle name="나쁨" xfId="2479" builtinId="27" hidden="1" customBuiltin="1"/>
    <cellStyle name="나쁨" xfId="2563" builtinId="27" hidden="1" customBuiltin="1"/>
    <cellStyle name="나쁨" xfId="2483" builtinId="27" hidden="1" customBuiltin="1"/>
    <cellStyle name="나쁨" xfId="2564" builtinId="27" hidden="1" customBuiltin="1"/>
    <cellStyle name="나쁨" xfId="3456" builtinId="27" hidden="1" customBuiltin="1"/>
    <cellStyle name="나쁨" xfId="3453" builtinId="27" hidden="1" customBuiltin="1"/>
    <cellStyle name="나쁨" xfId="3452" builtinId="27" hidden="1" customBuiltin="1"/>
    <cellStyle name="나쁨" xfId="3454" builtinId="27" hidden="1" customBuiltin="1"/>
    <cellStyle name="나쁨" xfId="3451" builtinId="27" hidden="1" customBuiltin="1"/>
    <cellStyle name="나쁨" xfId="3455" builtinId="27" hidden="1" customBuiltin="1"/>
    <cellStyle name="나쁨" xfId="3547" builtinId="27" hidden="1" customBuiltin="1"/>
    <cellStyle name="나쁨" xfId="11092" builtinId="27" hidden="1" customBuiltin="1"/>
    <cellStyle name="나쁨" xfId="11089" builtinId="27" hidden="1" customBuiltin="1"/>
    <cellStyle name="나쁨" xfId="11088" builtinId="27" hidden="1" customBuiltin="1"/>
    <cellStyle name="나쁨" xfId="11090" builtinId="27" hidden="1" customBuiltin="1"/>
    <cellStyle name="나쁨" xfId="11087" builtinId="27" hidden="1" customBuiltin="1"/>
    <cellStyle name="나쁨" xfId="11091" builtinId="27" hidden="1" customBuiltin="1"/>
    <cellStyle name="나쁨" xfId="11093" builtinId="27" hidden="1" customBuiltin="1"/>
    <cellStyle name="나쁨" xfId="11160" builtinId="27" hidden="1" customBuiltin="1"/>
    <cellStyle name="나쁨" xfId="11157" builtinId="27" hidden="1" customBuiltin="1"/>
    <cellStyle name="나쁨" xfId="11156" builtinId="27" hidden="1" customBuiltin="1"/>
    <cellStyle name="나쁨" xfId="11158" builtinId="27" hidden="1" customBuiltin="1"/>
    <cellStyle name="나쁨" xfId="11155" builtinId="27" hidden="1" customBuiltin="1"/>
    <cellStyle name="나쁨" xfId="11159" builtinId="27" hidden="1" customBuiltin="1"/>
    <cellStyle name="나쁨" xfId="11147" builtinId="27" hidden="1" customBuiltin="1"/>
    <cellStyle name="나쁨" xfId="11176" builtinId="27" hidden="1" customBuiltin="1"/>
    <cellStyle name="나쁨" xfId="11173" builtinId="27" hidden="1" customBuiltin="1"/>
    <cellStyle name="나쁨" xfId="11172" builtinId="27" hidden="1" customBuiltin="1"/>
    <cellStyle name="나쁨" xfId="11174" builtinId="27" hidden="1" customBuiltin="1"/>
    <cellStyle name="나쁨" xfId="11171" builtinId="27" hidden="1" customBuiltin="1"/>
    <cellStyle name="나쁨" xfId="11175" builtinId="27" hidden="1" customBuiltin="1"/>
    <cellStyle name="나쁨" xfId="11170" builtinId="27" hidden="1" customBuiltin="1"/>
    <cellStyle name="나쁨" xfId="11149" builtinId="27" hidden="1" customBuiltin="1"/>
    <cellStyle name="나쁨" xfId="11140" builtinId="27" hidden="1" customBuiltin="1"/>
    <cellStyle name="나쁨" xfId="11143" builtinId="27" hidden="1" customBuiltin="1"/>
    <cellStyle name="나쁨" xfId="11146" builtinId="27" hidden="1" customBuiltin="1"/>
    <cellStyle name="나쁨" xfId="11148" builtinId="27" hidden="1" customBuiltin="1"/>
    <cellStyle name="나쁨" xfId="11131" builtinId="27" hidden="1" customBuiltin="1"/>
    <cellStyle name="나쁨" xfId="11142" builtinId="27" hidden="1" customBuiltin="1"/>
    <cellStyle name="나쁨" xfId="11145" builtinId="27" hidden="1" customBuiltin="1"/>
    <cellStyle name="나쁨" xfId="11144" builtinId="27" hidden="1" customBuiltin="1"/>
    <cellStyle name="나쁨" xfId="11162" builtinId="27" hidden="1" customBuiltin="1"/>
    <cellStyle name="나쁨" xfId="11161" builtinId="27" hidden="1" customBuiltin="1"/>
    <cellStyle name="나쁨" xfId="11179" builtinId="27" hidden="1" customBuiltin="1"/>
    <cellStyle name="나쁨" xfId="11163" builtinId="27" hidden="1" customBuiltin="1"/>
    <cellStyle name="나쁨" xfId="11177" builtinId="27" hidden="1" customBuiltin="1"/>
    <cellStyle name="나쁨" xfId="11165" builtinId="27" hidden="1" customBuiltin="1"/>
    <cellStyle name="나쁨" xfId="11164" builtinId="27" hidden="1" customBuiltin="1"/>
    <cellStyle name="나쁨" xfId="11133" builtinId="27" hidden="1" customBuiltin="1"/>
    <cellStyle name="나쁨" xfId="11132" builtinId="27" hidden="1" customBuiltin="1"/>
    <cellStyle name="나쁨" xfId="11181" builtinId="27" hidden="1" customBuiltin="1"/>
    <cellStyle name="나쁨" xfId="11134" builtinId="27" hidden="1" customBuiltin="1"/>
    <cellStyle name="나쁨" xfId="11180" builtinId="27" hidden="1" customBuiltin="1"/>
    <cellStyle name="나쁨" xfId="11136" builtinId="27" hidden="1" customBuiltin="1"/>
    <cellStyle name="나쁨" xfId="11135" builtinId="27" hidden="1" customBuiltin="1"/>
    <cellStyle name="나쁨" xfId="11168" builtinId="27" hidden="1" customBuiltin="1"/>
    <cellStyle name="나쁨" xfId="11167" builtinId="27" hidden="1" customBuiltin="1"/>
    <cellStyle name="나쁨" xfId="11183" builtinId="27" hidden="1" customBuiltin="1"/>
    <cellStyle name="나쁨" xfId="11166" builtinId="27" hidden="1" customBuiltin="1"/>
    <cellStyle name="나쁨" xfId="11182" builtinId="27" hidden="1" customBuiltin="1"/>
    <cellStyle name="나쁨" xfId="11169" builtinId="27" hidden="1" customBuiltin="1"/>
    <cellStyle name="나쁨" xfId="11178" builtinId="27" hidden="1" customBuiltin="1"/>
    <cellStyle name="나쁨" xfId="11139" builtinId="27" hidden="1" customBuiltin="1"/>
    <cellStyle name="나쁨" xfId="11138" builtinId="27" hidden="1" customBuiltin="1"/>
    <cellStyle name="나쁨" xfId="11184" builtinId="27" hidden="1" customBuiltin="1"/>
    <cellStyle name="나쁨" xfId="11137" builtinId="27" hidden="1" customBuiltin="1"/>
    <cellStyle name="나쁨" xfId="11127" builtinId="27" hidden="1" customBuiltin="1"/>
    <cellStyle name="나쁨" xfId="11216" builtinId="27" hidden="1" customBuiltin="1"/>
    <cellStyle name="나쁨" xfId="11213" builtinId="27" hidden="1" customBuiltin="1"/>
    <cellStyle name="나쁨" xfId="11212" builtinId="27" hidden="1" customBuiltin="1"/>
    <cellStyle name="나쁨" xfId="11214" builtinId="27" hidden="1" customBuiltin="1"/>
    <cellStyle name="나쁨" xfId="11211" builtinId="27" hidden="1" customBuiltin="1"/>
    <cellStyle name="나쁨" xfId="11215" builtinId="27" hidden="1" customBuiltin="1"/>
    <cellStyle name="나쁨" xfId="11208" builtinId="27" hidden="1" customBuiltin="1"/>
    <cellStyle name="나쁨" xfId="11232" builtinId="27" hidden="1" customBuiltin="1"/>
    <cellStyle name="나쁨" xfId="11229" builtinId="27" hidden="1" customBuiltin="1"/>
    <cellStyle name="나쁨" xfId="11228" builtinId="27" hidden="1" customBuiltin="1"/>
    <cellStyle name="나쁨" xfId="11230" builtinId="27" hidden="1" customBuiltin="1"/>
    <cellStyle name="나쁨" xfId="11227" builtinId="27" hidden="1" customBuiltin="1"/>
    <cellStyle name="나쁨" xfId="11231" builtinId="27" hidden="1" customBuiltin="1"/>
    <cellStyle name="나쁨" xfId="11226" builtinId="27" hidden="1" customBuiltin="1"/>
    <cellStyle name="나쁨" xfId="11210" builtinId="27" hidden="1" customBuiltin="1"/>
    <cellStyle name="나쁨" xfId="11201" builtinId="27" hidden="1" customBuiltin="1"/>
    <cellStyle name="나쁨" xfId="11204" builtinId="27" hidden="1" customBuiltin="1"/>
    <cellStyle name="나쁨" xfId="11207" builtinId="27" hidden="1" customBuiltin="1"/>
    <cellStyle name="나쁨" xfId="11209" builtinId="27" hidden="1" customBuiltin="1"/>
    <cellStyle name="나쁨" xfId="11192" builtinId="27" hidden="1" customBuiltin="1"/>
    <cellStyle name="나쁨" xfId="11203" builtinId="27" hidden="1" customBuiltin="1"/>
    <cellStyle name="나쁨" xfId="11206" builtinId="27" hidden="1" customBuiltin="1"/>
    <cellStyle name="나쁨" xfId="11205" builtinId="27" hidden="1" customBuiltin="1"/>
    <cellStyle name="나쁨" xfId="11218" builtinId="27" hidden="1" customBuiltin="1"/>
    <cellStyle name="나쁨" xfId="11217" builtinId="27" hidden="1" customBuiltin="1"/>
    <cellStyle name="나쁨" xfId="11235" builtinId="27" hidden="1" customBuiltin="1"/>
    <cellStyle name="나쁨" xfId="11219" builtinId="27" hidden="1" customBuiltin="1"/>
    <cellStyle name="나쁨" xfId="11233" builtinId="27" hidden="1" customBuiltin="1"/>
    <cellStyle name="나쁨" xfId="11221" builtinId="27" hidden="1" customBuiltin="1"/>
    <cellStyle name="나쁨" xfId="11220" builtinId="27" hidden="1" customBuiltin="1"/>
    <cellStyle name="나쁨" xfId="11194" builtinId="27" hidden="1" customBuiltin="1"/>
    <cellStyle name="나쁨" xfId="11193" builtinId="27" hidden="1" customBuiltin="1"/>
    <cellStyle name="나쁨" xfId="11237" builtinId="27" hidden="1" customBuiltin="1"/>
    <cellStyle name="나쁨" xfId="11195" builtinId="27" hidden="1" customBuiltin="1"/>
    <cellStyle name="나쁨" xfId="11236" builtinId="27" hidden="1" customBuiltin="1"/>
    <cellStyle name="나쁨" xfId="11197" builtinId="27" hidden="1" customBuiltin="1"/>
    <cellStyle name="나쁨" xfId="11196" builtinId="27" hidden="1" customBuiltin="1"/>
    <cellStyle name="나쁨" xfId="11224" builtinId="27" hidden="1" customBuiltin="1"/>
    <cellStyle name="나쁨" xfId="11223" builtinId="27" hidden="1" customBuiltin="1"/>
    <cellStyle name="나쁨" xfId="11239" builtinId="27" hidden="1" customBuiltin="1"/>
    <cellStyle name="나쁨" xfId="11222" builtinId="27" hidden="1" customBuiltin="1"/>
    <cellStyle name="나쁨" xfId="11238" builtinId="27" hidden="1" customBuiltin="1"/>
    <cellStyle name="나쁨" xfId="11225" builtinId="27" hidden="1" customBuiltin="1"/>
    <cellStyle name="나쁨" xfId="11234" builtinId="27" hidden="1" customBuiltin="1"/>
    <cellStyle name="나쁨" xfId="11200" builtinId="27" hidden="1" customBuiltin="1"/>
    <cellStyle name="나쁨" xfId="11199" builtinId="27" hidden="1" customBuiltin="1"/>
    <cellStyle name="나쁨" xfId="11240" builtinId="27" hidden="1" customBuiltin="1"/>
    <cellStyle name="나쁨" xfId="11198" builtinId="27" hidden="1" customBuiltin="1"/>
    <cellStyle name="나쁨" xfId="11191" builtinId="27" hidden="1" customBuiltin="1"/>
    <cellStyle name="나쁨" xfId="11246" builtinId="27" hidden="1" customBuiltin="1"/>
    <cellStyle name="나쁨" xfId="11243" builtinId="27" hidden="1" customBuiltin="1"/>
    <cellStyle name="나쁨" xfId="11242" builtinId="27" hidden="1" customBuiltin="1"/>
    <cellStyle name="나쁨" xfId="11244" builtinId="27" hidden="1" customBuiltin="1"/>
    <cellStyle name="나쁨" xfId="11241" builtinId="27" hidden="1" customBuiltin="1"/>
    <cellStyle name="나쁨" xfId="11245" builtinId="27" hidden="1" customBuiltin="1"/>
    <cellStyle name="나쁨" xfId="11187" builtinId="27" hidden="1" customBuiltin="1"/>
    <cellStyle name="나쁨" xfId="11262" builtinId="27" hidden="1" customBuiltin="1"/>
    <cellStyle name="나쁨" xfId="11259" builtinId="27" hidden="1" customBuiltin="1"/>
    <cellStyle name="나쁨" xfId="11258" builtinId="27" hidden="1" customBuiltin="1"/>
    <cellStyle name="나쁨" xfId="11260" builtinId="27" hidden="1" customBuiltin="1"/>
    <cellStyle name="나쁨" xfId="11257" builtinId="27" hidden="1" customBuiltin="1"/>
    <cellStyle name="나쁨" xfId="11261" builtinId="27" hidden="1" customBuiltin="1"/>
    <cellStyle name="나쁨" xfId="11256" builtinId="27" hidden="1" customBuiltin="1"/>
    <cellStyle name="나쁨" xfId="11122" builtinId="27" hidden="1" customBuiltin="1"/>
    <cellStyle name="나쁨" xfId="11189" builtinId="27" hidden="1" customBuiltin="1"/>
    <cellStyle name="나쁨" xfId="11121" builtinId="27" hidden="1" customBuiltin="1"/>
    <cellStyle name="나쁨" xfId="11128" builtinId="27" hidden="1" customBuiltin="1"/>
    <cellStyle name="나쁨" xfId="11125" builtinId="27" hidden="1" customBuiltin="1"/>
    <cellStyle name="나쁨" xfId="11116" builtinId="27" hidden="1" customBuiltin="1"/>
    <cellStyle name="나쁨" xfId="11185" builtinId="27" hidden="1" customBuiltin="1"/>
    <cellStyle name="나쁨" xfId="11115" builtinId="27" hidden="1" customBuiltin="1"/>
    <cellStyle name="나쁨" xfId="11188" builtinId="27" hidden="1" customBuiltin="1"/>
    <cellStyle name="나쁨" xfId="11248" builtinId="27" hidden="1" customBuiltin="1"/>
    <cellStyle name="나쁨" xfId="11247" builtinId="27" hidden="1" customBuiltin="1"/>
    <cellStyle name="나쁨" xfId="11265" builtinId="27" hidden="1" customBuiltin="1"/>
    <cellStyle name="나쁨" xfId="11249" builtinId="27" hidden="1" customBuiltin="1"/>
    <cellStyle name="나쁨" xfId="11263" builtinId="27" hidden="1" customBuiltin="1"/>
    <cellStyle name="나쁨" xfId="11251" builtinId="27" hidden="1" customBuiltin="1"/>
    <cellStyle name="나쁨" xfId="11250" builtinId="27" hidden="1" customBuiltin="1"/>
    <cellStyle name="나쁨" xfId="11118" builtinId="27" hidden="1" customBuiltin="1"/>
    <cellStyle name="나쁨" xfId="11117" builtinId="27" hidden="1" customBuiltin="1"/>
    <cellStyle name="나쁨" xfId="11267" builtinId="27" hidden="1" customBuiltin="1"/>
    <cellStyle name="나쁨" xfId="11119" builtinId="27" hidden="1" customBuiltin="1"/>
    <cellStyle name="나쁨" xfId="11266" builtinId="27" hidden="1" customBuiltin="1"/>
    <cellStyle name="나쁨" xfId="11120" builtinId="27" hidden="1" customBuiltin="1"/>
    <cellStyle name="나쁨" xfId="11126" builtinId="27" hidden="1" customBuiltin="1"/>
    <cellStyle name="나쁨" xfId="11254" builtinId="27" hidden="1" customBuiltin="1"/>
    <cellStyle name="나쁨" xfId="11253" builtinId="27" hidden="1" customBuiltin="1"/>
    <cellStyle name="나쁨" xfId="11269" builtinId="27" hidden="1" customBuiltin="1"/>
    <cellStyle name="나쁨" xfId="11252" builtinId="27" hidden="1" customBuiltin="1"/>
    <cellStyle name="나쁨" xfId="11268" builtinId="27" hidden="1" customBuiltin="1"/>
    <cellStyle name="나쁨" xfId="11255" builtinId="27" hidden="1" customBuiltin="1"/>
    <cellStyle name="나쁨" xfId="11264" builtinId="27" hidden="1" customBuiltin="1"/>
    <cellStyle name="나쁨" xfId="11202" builtinId="27" hidden="1" customBuiltin="1"/>
    <cellStyle name="나쁨" xfId="11186" builtinId="27" hidden="1" customBuiltin="1"/>
    <cellStyle name="나쁨" xfId="11270" builtinId="27" hidden="1" customBuiltin="1"/>
    <cellStyle name="나쁨" xfId="11190" builtinId="27" hidden="1" customBuiltin="1"/>
    <cellStyle name="나쁨" xfId="11271" builtinId="27" hidden="1" customBuiltin="1"/>
    <cellStyle name="나쁨" xfId="11320" builtinId="27" hidden="1" customBuiltin="1"/>
    <cellStyle name="나쁨" xfId="11317" builtinId="27" hidden="1" customBuiltin="1"/>
    <cellStyle name="나쁨" xfId="11316" builtinId="27" hidden="1" customBuiltin="1"/>
    <cellStyle name="나쁨" xfId="11318" builtinId="27" hidden="1" customBuiltin="1"/>
    <cellStyle name="나쁨" xfId="11315" builtinId="27" hidden="1" customBuiltin="1"/>
    <cellStyle name="나쁨" xfId="11319" builtinId="27" hidden="1" customBuiltin="1"/>
    <cellStyle name="나쁨" xfId="11328" builtinId="27" hidden="1" customBuiltin="1"/>
    <cellStyle name="나쁨" xfId="11700" builtinId="27" hidden="1" customBuiltin="1"/>
    <cellStyle name="나쁨" xfId="11697" builtinId="27" hidden="1" customBuiltin="1"/>
    <cellStyle name="나쁨" xfId="11696" builtinId="27" hidden="1" customBuiltin="1"/>
    <cellStyle name="나쁨" xfId="11698" builtinId="27" hidden="1" customBuiltin="1"/>
    <cellStyle name="나쁨" xfId="11695" builtinId="27" hidden="1" customBuiltin="1"/>
    <cellStyle name="나쁨" xfId="11699" builtinId="27" hidden="1" customBuiltin="1"/>
    <cellStyle name="나쁨" xfId="11701" builtinId="27" hidden="1" customBuiltin="1"/>
    <cellStyle name="나쁨" xfId="11424" builtinId="27" hidden="1" customBuiltin="1"/>
    <cellStyle name="나쁨" xfId="11429" builtinId="27" hidden="1" customBuiltin="1"/>
    <cellStyle name="나쁨" xfId="11677" builtinId="27" hidden="1" customBuiltin="1"/>
    <cellStyle name="나쁨" xfId="11547" builtinId="27" hidden="1" customBuiltin="1"/>
    <cellStyle name="나쁨" xfId="11553" builtinId="27" hidden="1" customBuiltin="1"/>
    <cellStyle name="나쁨" xfId="11669" builtinId="27" hidden="1" customBuiltin="1"/>
    <cellStyle name="나쁨" xfId="11496" builtinId="27" hidden="1" customBuiltin="1"/>
    <cellStyle name="나쁨" xfId="11422" builtinId="27" hidden="1" customBuiltin="1"/>
    <cellStyle name="나쁨" xfId="11549" builtinId="27" hidden="1" customBuiltin="1"/>
    <cellStyle name="나쁨" xfId="11427" builtinId="27" hidden="1" customBuiltin="1"/>
    <cellStyle name="나쁨" xfId="11675" builtinId="27" hidden="1" customBuiltin="1"/>
    <cellStyle name="나쁨" xfId="11272" builtinId="27" hidden="1" customBuiltin="1"/>
    <cellStyle name="나쁨" xfId="11276" builtinId="27" hidden="1" customBuiltin="1"/>
    <cellStyle name="나쁨" xfId="11434" builtinId="27" hidden="1" customBuiltin="1"/>
    <cellStyle name="나쁨" xfId="11376" builtinId="27" hidden="1" customBuiltin="1"/>
    <cellStyle name="나쁨" xfId="11522" builtinId="27" hidden="1" customBuiltin="1"/>
    <cellStyle name="나쁨" xfId="11565" builtinId="27" hidden="1" customBuiltin="1"/>
    <cellStyle name="나쁨" xfId="11331" builtinId="27" hidden="1" customBuiltin="1"/>
    <cellStyle name="나쁨" xfId="11621" builtinId="27" hidden="1" customBuiltin="1"/>
    <cellStyle name="나쁨" xfId="11688" builtinId="27" hidden="1" customBuiltin="1"/>
    <cellStyle name="나쁨" xfId="11443" builtinId="27" hidden="1" customBuiltin="1"/>
    <cellStyle name="나쁨" xfId="11571" builtinId="27" hidden="1" customBuiltin="1"/>
    <cellStyle name="나쁨" xfId="11446" builtinId="27" hidden="1" customBuiltin="1"/>
    <cellStyle name="나쁨" xfId="11536" builtinId="27" hidden="1" customBuiltin="1"/>
    <cellStyle name="나쁨" xfId="11616" builtinId="27" hidden="1" customBuiltin="1"/>
    <cellStyle name="나쁨" xfId="11296" builtinId="27" hidden="1" customBuiltin="1"/>
    <cellStyle name="나쁨" xfId="11659" builtinId="27" hidden="1" customBuiltin="1"/>
    <cellStyle name="나쁨" xfId="11544" builtinId="27" hidden="1" customBuiltin="1"/>
    <cellStyle name="나쁨" xfId="11367" builtinId="27" hidden="1" customBuiltin="1"/>
    <cellStyle name="나쁨" xfId="11411" builtinId="27" hidden="1" customBuiltin="1"/>
    <cellStyle name="나쁨" xfId="11575" builtinId="27" hidden="1" customBuiltin="1"/>
    <cellStyle name="나쁨" xfId="11450" builtinId="27" hidden="1" customBuiltin="1"/>
    <cellStyle name="나쁨" xfId="11420" builtinId="27" hidden="1" customBuiltin="1"/>
    <cellStyle name="나쁨" xfId="11499" builtinId="27" hidden="1" customBuiltin="1"/>
    <cellStyle name="나쁨" xfId="11129" builtinId="27" hidden="1" customBuiltin="1"/>
    <cellStyle name="나쁨" xfId="11380" builtinId="27" hidden="1" customBuiltin="1"/>
    <cellStyle name="나쁨" xfId="11626" builtinId="27" hidden="1" customBuiltin="1"/>
    <cellStyle name="나쁨" xfId="11558" builtinId="27" hidden="1" customBuiltin="1"/>
    <cellStyle name="나쁨" xfId="11332" builtinId="27" hidden="1" customBuiltin="1"/>
    <cellStyle name="나쁨" xfId="11293" builtinId="27" hidden="1" customBuiltin="1"/>
    <cellStyle name="나쁨" xfId="11094" builtinId="27" hidden="1" customBuiltin="1"/>
    <cellStyle name="나쁨" xfId="11542" builtinId="27" hidden="1" customBuiltin="1"/>
    <cellStyle name="나쁨" xfId="11678" builtinId="27" hidden="1" customBuiltin="1"/>
    <cellStyle name="나쁨" xfId="11666" builtinId="27" hidden="1" customBuiltin="1"/>
    <cellStyle name="나쁨" xfId="11601" builtinId="27" hidden="1" customBuiltin="1"/>
    <cellStyle name="나쁨" xfId="11472" builtinId="27" hidden="1" customBuiltin="1"/>
    <cellStyle name="나쁨" xfId="11664" builtinId="27" hidden="1" customBuiltin="1"/>
    <cellStyle name="나쁨" xfId="11354" builtinId="27" hidden="1" customBuiltin="1"/>
    <cellStyle name="나쁨" xfId="11475" builtinId="27" hidden="1" customBuiltin="1"/>
    <cellStyle name="나쁨" xfId="11365" builtinId="27" hidden="1" customBuiltin="1"/>
    <cellStyle name="나쁨" xfId="11514" builtinId="27" hidden="1" customBuiltin="1"/>
    <cellStyle name="나쁨" xfId="11596" builtinId="27" hidden="1" customBuiltin="1"/>
    <cellStyle name="나쁨" xfId="11640" builtinId="27" hidden="1" customBuiltin="1"/>
    <cellStyle name="나쁨" xfId="11464" builtinId="27" hidden="1" customBuiltin="1"/>
    <cellStyle name="나쁨" xfId="11395" builtinId="27" hidden="1" customBuiltin="1"/>
    <cellStyle name="나쁨" xfId="11403" builtinId="27" hidden="1" customBuiltin="1"/>
    <cellStyle name="나쁨" xfId="11283" builtinId="27" hidden="1" customBuiltin="1"/>
    <cellStyle name="나쁨" xfId="11335" builtinId="27" hidden="1" customBuiltin="1"/>
    <cellStyle name="나쁨" xfId="11564" builtinId="27" hidden="1" customBuiltin="1"/>
    <cellStyle name="나쁨" xfId="11449" builtinId="27" hidden="1" customBuiltin="1"/>
    <cellStyle name="나쁨" xfId="11442" builtinId="27" hidden="1" customBuiltin="1"/>
    <cellStyle name="나쁨" xfId="11574" builtinId="27" hidden="1" customBuiltin="1"/>
    <cellStyle name="나쁨" xfId="11682" builtinId="27" hidden="1" customBuiltin="1"/>
    <cellStyle name="나쁨" xfId="11349" builtinId="27" hidden="1" customBuiltin="1"/>
    <cellStyle name="나쁨" xfId="11630" builtinId="27" hidden="1" customBuiltin="1"/>
    <cellStyle name="나쁨" xfId="11478" builtinId="27" hidden="1" customBuiltin="1"/>
    <cellStyle name="나쁨" xfId="11647" builtinId="27" hidden="1" customBuiltin="1"/>
    <cellStyle name="나쁨" xfId="11285" builtinId="27" hidden="1" customBuiltin="1"/>
    <cellStyle name="나쁨" xfId="11540" builtinId="27" hidden="1" customBuiltin="1"/>
    <cellStyle name="나쁨" xfId="11357" builtinId="27" hidden="1" customBuiltin="1"/>
    <cellStyle name="나쁨" xfId="11525" builtinId="27" hidden="1" customBuiltin="1"/>
    <cellStyle name="나쁨" xfId="11604" builtinId="27" hidden="1" customBuiltin="1"/>
    <cellStyle name="나쁨" xfId="11614" builtinId="27" hidden="1" customBuiltin="1"/>
    <cellStyle name="나쁨" xfId="11486" builtinId="27" hidden="1" customBuiltin="1"/>
    <cellStyle name="나쁨" xfId="11625" builtinId="27" hidden="1" customBuiltin="1"/>
    <cellStyle name="나쁨" xfId="11533" builtinId="27" hidden="1" customBuiltin="1"/>
    <cellStyle name="나쁨" xfId="11379" builtinId="27" hidden="1" customBuiltin="1"/>
    <cellStyle name="나쁨" xfId="11409" builtinId="27" hidden="1" customBuiltin="1"/>
    <cellStyle name="나쁨" xfId="11657" builtinId="27" hidden="1" customBuiltin="1"/>
    <cellStyle name="나쁨" xfId="11297" builtinId="27" hidden="1" customBuiltin="1"/>
    <cellStyle name="나쁨" xfId="11660" builtinId="27" hidden="1" customBuiltin="1"/>
    <cellStyle name="나쁨" xfId="11353" builtinId="27" hidden="1" customBuiltin="1"/>
    <cellStyle name="나쁨" xfId="11105" builtinId="27" hidden="1" customBuiltin="1"/>
    <cellStyle name="나쁨" xfId="11153" builtinId="27" hidden="1" customBuiltin="1"/>
    <cellStyle name="나쁨" xfId="11687" builtinId="27" hidden="1" customBuiltin="1"/>
    <cellStyle name="나쁨" xfId="11338" builtinId="27" hidden="1" customBuiltin="1"/>
    <cellStyle name="나쁨" xfId="11099" builtinId="27" hidden="1" customBuiltin="1"/>
    <cellStyle name="나쁨" xfId="11112" builtinId="27" hidden="1" customBuiltin="1"/>
    <cellStyle name="나쁨" xfId="11600" builtinId="27" hidden="1" customBuiltin="1"/>
    <cellStyle name="나쁨" xfId="11303" builtinId="27" hidden="1" customBuiltin="1"/>
    <cellStyle name="나쁨" xfId="11471" builtinId="27" hidden="1" customBuiltin="1"/>
    <cellStyle name="나쁨" xfId="11327" builtinId="27" hidden="1" customBuiltin="1"/>
    <cellStyle name="나쁨" xfId="11498" builtinId="27" hidden="1" customBuiltin="1"/>
    <cellStyle name="나쁨" xfId="11502" builtinId="27" hidden="1" customBuiltin="1"/>
    <cellStyle name="나쁨" xfId="11580" builtinId="27" hidden="1" customBuiltin="1"/>
    <cellStyle name="나쁨" xfId="11400" builtinId="27" hidden="1" customBuiltin="1"/>
    <cellStyle name="나쁨" xfId="11454" builtinId="27" hidden="1" customBuiltin="1"/>
    <cellStyle name="나쁨" xfId="11415" builtinId="27" hidden="1" customBuiltin="1"/>
    <cellStyle name="나쁨" xfId="11694" builtinId="27" hidden="1" customBuiltin="1"/>
    <cellStyle name="나쁨" xfId="11300" builtinId="27" hidden="1" customBuiltin="1"/>
    <cellStyle name="나쁨" xfId="11643" builtinId="27" hidden="1" customBuiltin="1"/>
    <cellStyle name="나쁨" xfId="11107" builtinId="27" hidden="1" customBuiltin="1"/>
    <cellStyle name="나쁨" xfId="11521" builtinId="27" hidden="1" customBuiltin="1"/>
    <cellStyle name="나쁨" xfId="11345" builtinId="27" hidden="1" customBuiltin="1"/>
    <cellStyle name="나쁨" xfId="11372" builtinId="27" hidden="1" customBuiltin="1"/>
    <cellStyle name="나쁨" xfId="11095" builtinId="27" hidden="1" customBuiltin="1"/>
    <cellStyle name="나쁨" xfId="11305" builtinId="27" hidden="1" customBuiltin="1"/>
    <cellStyle name="나쁨" xfId="11652" builtinId="27" hidden="1" customBuiltin="1"/>
    <cellStyle name="나쁨" xfId="11113" builtinId="27" hidden="1" customBuiltin="1"/>
    <cellStyle name="나쁨" xfId="11529" builtinId="27" hidden="1" customBuiltin="1"/>
    <cellStyle name="나쁨" xfId="11101" builtinId="27" hidden="1" customBuiltin="1"/>
    <cellStyle name="나쁨" xfId="11407" builtinId="27" hidden="1" customBuiltin="1"/>
    <cellStyle name="나쁨" xfId="11572" builtinId="27" hidden="1" customBuiltin="1"/>
    <cellStyle name="나쁨" xfId="11618" builtinId="27" hidden="1" customBuiltin="1"/>
    <cellStyle name="나쁨" xfId="11447" builtinId="27" hidden="1" customBuiltin="1"/>
    <cellStyle name="나쁨" xfId="11603" builtinId="27" hidden="1" customBuiltin="1"/>
    <cellStyle name="나쁨" xfId="11627" builtinId="27" hidden="1" customBuiltin="1"/>
    <cellStyle name="나쁨" xfId="11410" builtinId="27" hidden="1" customBuiltin="1"/>
    <cellStyle name="나쁨" xfId="11311" builtinId="27" hidden="1" customBuiltin="1"/>
    <cellStyle name="나쁨" xfId="11658" builtinId="27" hidden="1" customBuiltin="1"/>
    <cellStyle name="나쁨" xfId="11493" builtinId="27" hidden="1" customBuiltin="1"/>
    <cellStyle name="나쁨" xfId="11590" builtinId="27" hidden="1" customBuiltin="1"/>
    <cellStyle name="나쁨" xfId="11460" builtinId="27" hidden="1" customBuiltin="1"/>
    <cellStyle name="나쁨" xfId="11428" builtinId="27" hidden="1" customBuiltin="1"/>
    <cellStyle name="나쁨" xfId="11392" builtinId="27" hidden="1" customBuiltin="1"/>
    <cellStyle name="나쁨" xfId="11550" builtinId="27" hidden="1" customBuiltin="1"/>
    <cellStyle name="나쁨" xfId="11638" builtinId="27" hidden="1" customBuiltin="1"/>
    <cellStyle name="나쁨" xfId="11509" builtinId="27" hidden="1" customBuiltin="1"/>
    <cellStyle name="나쁨" xfId="11350" builtinId="27" hidden="1" customBuiltin="1"/>
    <cellStyle name="나쁨" xfId="11366" builtinId="27" hidden="1" customBuiltin="1"/>
    <cellStyle name="나쁨" xfId="11668" builtinId="27" hidden="1" customBuiltin="1"/>
    <cellStyle name="나쁨" xfId="11339" builtinId="27" hidden="1" customBuiltin="1"/>
    <cellStyle name="나쁨" xfId="11546" builtinId="27" hidden="1" customBuiltin="1"/>
    <cellStyle name="나쁨" xfId="11334" builtinId="27" hidden="1" customBuiltin="1"/>
    <cellStyle name="나쁨" xfId="11381" builtinId="27" hidden="1" customBuiltin="1"/>
    <cellStyle name="나쁨" xfId="11482" builtinId="27" hidden="1" customBuiltin="1"/>
    <cellStyle name="나쁨" xfId="11364" builtinId="27" hidden="1" customBuiltin="1"/>
    <cellStyle name="나쁨" xfId="11421" builtinId="27" hidden="1" customBuiltin="1"/>
    <cellStyle name="나쁨" xfId="11290" builtinId="27" hidden="1" customBuiltin="1"/>
    <cellStyle name="나쁨" xfId="11423" builtinId="27" hidden="1" customBuiltin="1"/>
    <cellStyle name="나쁨" xfId="11610" builtinId="27" hidden="1" customBuiltin="1"/>
    <cellStyle name="나쁨" xfId="11676" builtinId="27" hidden="1" customBuiltin="1"/>
    <cellStyle name="나쁨" xfId="11382" builtinId="27" hidden="1" customBuiltin="1"/>
    <cellStyle name="나쁨" xfId="11102" builtinId="27" hidden="1" customBuiltin="1"/>
    <cellStyle name="나쁨" xfId="11543" builtinId="27" hidden="1" customBuiltin="1"/>
    <cellStyle name="나쁨" xfId="11282" builtinId="27" hidden="1" customBuiltin="1"/>
    <cellStyle name="나쁨" xfId="11273" builtinId="27" hidden="1" customBuiltin="1"/>
    <cellStyle name="나쁨" xfId="11503" builtinId="27" hidden="1" customBuiltin="1"/>
    <cellStyle name="나쁨" xfId="11343" builtinId="27" hidden="1" customBuiltin="1"/>
    <cellStyle name="나쁨" xfId="11152" builtinId="27" hidden="1" customBuiltin="1"/>
    <cellStyle name="나쁨" xfId="11455" builtinId="27" hidden="1" customBuiltin="1"/>
    <cellStyle name="나쁨" xfId="11398" builtinId="27" hidden="1" customBuiltin="1"/>
    <cellStyle name="나쁨" xfId="11583" builtinId="27" hidden="1" customBuiltin="1"/>
    <cellStyle name="나쁨" xfId="11333" builtinId="27" hidden="1" customBuiltin="1"/>
    <cellStyle name="나쁨" xfId="11714" builtinId="27" hidden="1" customBuiltin="1"/>
    <cellStyle name="나쁨" xfId="11711" builtinId="27" hidden="1" customBuiltin="1"/>
    <cellStyle name="나쁨" xfId="11710" builtinId="27" hidden="1" customBuiltin="1"/>
    <cellStyle name="나쁨" xfId="11712" builtinId="27" hidden="1" customBuiltin="1"/>
    <cellStyle name="나쁨" xfId="11709" builtinId="27" hidden="1" customBuiltin="1"/>
    <cellStyle name="나쁨" xfId="11713" builtinId="27" hidden="1" customBuiltin="1"/>
    <cellStyle name="나쁨" xfId="11715" builtinId="27" hidden="1" customBuiltin="1"/>
    <cellStyle name="나쁨" xfId="11465" builtinId="27" hidden="1" customBuiltin="1"/>
    <cellStyle name="나쁨" xfId="11330" builtinId="27" hidden="1" customBuiltin="1"/>
    <cellStyle name="나쁨" xfId="1832" builtinId="27" hidden="1" customBuiltin="1"/>
    <cellStyle name="나쁨" xfId="11562" builtinId="27" hidden="1" customBuiltin="1"/>
    <cellStyle name="나쁨" xfId="11500" builtinId="27" hidden="1" customBuiltin="1"/>
    <cellStyle name="나쁨" xfId="11611" builtinId="27" hidden="1" customBuiltin="1"/>
    <cellStyle name="나쁨" xfId="11313" builtinId="27" hidden="1" customBuiltin="1"/>
    <cellStyle name="나쁨" xfId="11488" builtinId="27" hidden="1" customBuiltin="1"/>
    <cellStyle name="나쁨" xfId="11584" builtinId="27" hidden="1" customBuiltin="1"/>
    <cellStyle name="나쁨" xfId="11506" builtinId="27" hidden="1" customBuiltin="1"/>
    <cellStyle name="나쁨" xfId="11141" builtinId="27" hidden="1" customBuiltin="1"/>
    <cellStyle name="나쁨" xfId="11110" builtinId="27" hidden="1" customBuiltin="1"/>
    <cellStyle name="나쁨" xfId="11414" builtinId="27" hidden="1" customBuiltin="1"/>
    <cellStyle name="나쁨" xfId="11433" builtinId="27" hidden="1" customBuiltin="1"/>
    <cellStyle name="나쁨" xfId="11632" builtinId="27" hidden="1" customBuiltin="1"/>
    <cellStyle name="나쁨" xfId="11375" builtinId="27" hidden="1" customBuiltin="1"/>
    <cellStyle name="나쁨" xfId="11322" builtinId="27" hidden="1" customBuiltin="1"/>
    <cellStyle name="나쁨" xfId="11557" builtinId="27" hidden="1" customBuiltin="1"/>
    <cellStyle name="나쁨" xfId="11479" builtinId="27" hidden="1" customBuiltin="1"/>
    <cellStyle name="나쁨" xfId="11704" builtinId="27" hidden="1" customBuiltin="1"/>
    <cellStyle name="나쁨" xfId="11461" builtinId="27" hidden="1" customBuiltin="1"/>
    <cellStyle name="나쁨" xfId="11655" builtinId="27" hidden="1" customBuiltin="1"/>
    <cellStyle name="나쁨" xfId="11672" builtinId="27" hidden="1" customBuiltin="1"/>
    <cellStyle name="나쁨" xfId="11505" builtinId="27" hidden="1" customBuiltin="1"/>
    <cellStyle name="나쁨" xfId="11537" builtinId="27" hidden="1" customBuiltin="1"/>
    <cellStyle name="나쁨" xfId="11674" builtinId="27" hidden="1" customBuiltin="1"/>
    <cellStyle name="나쁨" xfId="11670" builtinId="27" hidden="1" customBuiltin="1"/>
    <cellStyle name="나쁨" xfId="11292" builtinId="27" hidden="1" customBuiltin="1"/>
    <cellStyle name="나쁨" xfId="11348" builtinId="27" hidden="1" customBuiltin="1"/>
    <cellStyle name="나쁨" xfId="11436" builtinId="27" hidden="1" customBuiltin="1"/>
    <cellStyle name="나쁨" xfId="11291" builtinId="27" hidden="1" customBuiltin="1"/>
    <cellStyle name="나쁨" xfId="11325" builtinId="27" hidden="1" customBuiltin="1"/>
    <cellStyle name="나쁨" xfId="11383" builtinId="27" hidden="1" customBuiltin="1"/>
    <cellStyle name="나쁨" xfId="11441" builtinId="27" hidden="1" customBuiltin="1"/>
    <cellStyle name="나쁨" xfId="11355" builtinId="27" hidden="1" customBuiltin="1"/>
    <cellStyle name="나쁨" xfId="11552" builtinId="27" hidden="1" customBuiltin="1"/>
    <cellStyle name="나쁨" xfId="11468" builtinId="27" hidden="1" customBuiltin="1"/>
    <cellStyle name="나쁨" xfId="11548" builtinId="27" hidden="1" customBuiltin="1"/>
    <cellStyle name="나쁨" xfId="11413" builtinId="27" hidden="1" customBuiltin="1"/>
    <cellStyle name="나쁨" xfId="11642" builtinId="27" hidden="1" customBuiltin="1"/>
    <cellStyle name="나쁨" xfId="11456" builtinId="27" hidden="1" customBuiltin="1"/>
    <cellStyle name="나쁨" xfId="11377" builtinId="27" hidden="1" customBuiltin="1"/>
    <cellStyle name="나쁨" xfId="11528" builtinId="27" hidden="1" customBuiltin="1"/>
    <cellStyle name="나쁨" xfId="11665" builtinId="27" hidden="1" customBuiltin="1"/>
    <cellStyle name="나쁨" xfId="11684" builtinId="27" hidden="1" customBuiltin="1"/>
    <cellStyle name="나쁨" xfId="11444" builtinId="27" hidden="1" customBuiltin="1"/>
    <cellStyle name="나쁨" xfId="2314" builtinId="27" hidden="1" customBuiltin="1"/>
    <cellStyle name="나쁨" xfId="11538" builtinId="27" hidden="1" customBuiltin="1"/>
    <cellStyle name="나쁨" xfId="11431" builtinId="27" hidden="1" customBuiltin="1"/>
    <cellStyle name="나쁨" xfId="11103" builtinId="27" hidden="1" customBuiltin="1"/>
    <cellStyle name="나쁨" xfId="11511" builtinId="27" hidden="1" customBuiltin="1"/>
    <cellStyle name="나쁨" xfId="11489" builtinId="27" hidden="1" customBuiltin="1"/>
    <cellStyle name="나쁨" xfId="11526" builtinId="27" hidden="1" customBuiltin="1"/>
    <cellStyle name="나쁨" xfId="11524" builtinId="27" hidden="1" customBuiltin="1"/>
    <cellStyle name="나쁨" xfId="11513" builtinId="27" hidden="1" customBuiltin="1"/>
    <cellStyle name="나쁨" xfId="11512" builtinId="27" hidden="1" customBuiltin="1"/>
    <cellStyle name="나쁨" xfId="11298" builtinId="27" hidden="1" customBuiltin="1"/>
    <cellStyle name="나쁨" xfId="11286" builtinId="27" hidden="1" customBuiltin="1"/>
    <cellStyle name="나쁨" xfId="11111" builtinId="27" hidden="1" customBuiltin="1"/>
    <cellStyle name="나쁨" xfId="11108" builtinId="27" hidden="1" customBuiltin="1"/>
    <cellStyle name="나쁨" xfId="11347" builtinId="27" hidden="1" customBuiltin="1"/>
    <cellStyle name="나쁨" xfId="11541" builtinId="27" hidden="1" customBuiltin="1"/>
    <cellStyle name="나쁨" xfId="11587" builtinId="27" hidden="1" customBuiltin="1"/>
    <cellStyle name="나쁨" xfId="11391" builtinId="27" hidden="1" customBuiltin="1"/>
    <cellStyle name="나쁨" xfId="11494" builtinId="27" hidden="1" customBuiltin="1"/>
    <cellStyle name="나쁨" xfId="11378" builtinId="27" hidden="1" customBuiltin="1"/>
    <cellStyle name="나쁨" xfId="11314" builtinId="27" hidden="1" customBuiltin="1"/>
    <cellStyle name="나쁨" xfId="11595" builtinId="27" hidden="1" customBuiltin="1"/>
    <cellStyle name="나쁨" xfId="11370" builtinId="27" hidden="1" customBuiltin="1"/>
    <cellStyle name="나쁨" xfId="11624" builtinId="27" hidden="1" customBuiltin="1"/>
    <cellStyle name="나쁨" xfId="11667" builtinId="27" hidden="1" customBuiltin="1"/>
    <cellStyle name="나쁨" xfId="11480" builtinId="27" hidden="1" customBuiltin="1"/>
    <cellStyle name="나쁨" xfId="11361" builtinId="27" hidden="1" customBuiltin="1"/>
    <cellStyle name="나쁨" xfId="11636" builtinId="27" hidden="1" customBuiltin="1"/>
    <cellStyle name="나쁨" xfId="11281" builtinId="27" hidden="1" customBuiltin="1"/>
    <cellStyle name="나쁨" xfId="11425" builtinId="27" hidden="1" customBuiltin="1"/>
    <cellStyle name="나쁨" xfId="11679" builtinId="27" hidden="1" customBuiltin="1"/>
    <cellStyle name="나쁨" xfId="11588" builtinId="27" hidden="1" customBuiltin="1"/>
    <cellStyle name="나쁨" xfId="11114" builtinId="27" hidden="1" customBuiltin="1"/>
    <cellStyle name="나쁨" xfId="11681" builtinId="27" hidden="1" customBuiltin="1"/>
    <cellStyle name="나쁨" xfId="11351" builtinId="27" hidden="1" customBuiltin="1"/>
    <cellStyle name="나쁨" xfId="11280" builtinId="27" hidden="1" customBuiltin="1"/>
    <cellStyle name="나쁨" xfId="11360" builtinId="27" hidden="1" customBuiltin="1"/>
    <cellStyle name="나쁨" xfId="11551" builtinId="27" hidden="1" customBuiltin="1"/>
    <cellStyle name="나쁨" xfId="11703" builtinId="27" hidden="1" customBuiltin="1"/>
    <cellStyle name="나쁨" xfId="11579" builtinId="27" hidden="1" customBuiltin="1"/>
    <cellStyle name="나쁨" xfId="11321" builtinId="27" hidden="1" customBuiltin="1"/>
    <cellStyle name="나쁨" xfId="11576" builtinId="27" hidden="1" customBuiltin="1"/>
    <cellStyle name="나쁨" xfId="11123" builtinId="27" hidden="1" customBuiltin="1"/>
    <cellStyle name="나쁨" xfId="11646" builtinId="27" hidden="1" customBuiltin="1"/>
    <cellStyle name="나쁨" xfId="11435" builtinId="27" hidden="1" customBuiltin="1"/>
    <cellStyle name="나쁨" xfId="11663" builtinId="27" hidden="1" customBuiltin="1"/>
    <cellStyle name="나쁨" xfId="11323" builtinId="27" hidden="1" customBuiltin="1"/>
    <cellStyle name="나쁨" xfId="11650" builtinId="27" hidden="1" customBuiltin="1"/>
    <cellStyle name="나쁨" xfId="11304" builtinId="27" hidden="1" customBuiltin="1"/>
    <cellStyle name="나쁨" xfId="11693" builtinId="27" hidden="1" customBuiltin="1"/>
    <cellStyle name="나쁨" xfId="11608" builtinId="27" hidden="1" customBuiltin="1"/>
    <cellStyle name="나쁨" xfId="11686" builtinId="27" hidden="1" customBuiltin="1"/>
    <cellStyle name="나쁨" xfId="11708" builtinId="27" hidden="1" customBuiltin="1"/>
    <cellStyle name="나쁨" xfId="11363" builtinId="27" hidden="1" customBuiltin="1"/>
    <cellStyle name="나쁨" xfId="11312" builtinId="27" hidden="1" customBuiltin="1"/>
    <cellStyle name="나쁨" xfId="11689" builtinId="27" hidden="1" customBuiltin="1"/>
    <cellStyle name="나쁨" xfId="11570" builtinId="27" hidden="1" customBuiltin="1"/>
    <cellStyle name="나쁨" xfId="11277" builtinId="27" hidden="1" customBuiltin="1"/>
    <cellStyle name="나쁨" xfId="11437" builtinId="27" hidden="1" customBuiltin="1"/>
    <cellStyle name="나쁨" xfId="11586" builtinId="27" hidden="1" customBuiltin="1"/>
    <cellStyle name="나쁨" xfId="11589" builtinId="27" hidden="1" customBuiltin="1"/>
    <cellStyle name="나쁨" xfId="11516" builtinId="27" hidden="1" customBuiltin="1"/>
    <cellStyle name="나쁨" xfId="11495" builtinId="27" hidden="1" customBuiltin="1"/>
    <cellStyle name="나쁨" xfId="11644" builtinId="27" hidden="1" customBuiltin="1"/>
    <cellStyle name="나쁨" xfId="11473" builtinId="27" hidden="1" customBuiltin="1"/>
    <cellStyle name="나쁨" xfId="11620" builtinId="27" hidden="1" customBuiltin="1"/>
    <cellStyle name="나쁨" xfId="11306" builtinId="27" hidden="1" customBuiltin="1"/>
    <cellStyle name="나쁨" xfId="11559" builtinId="27" hidden="1" customBuiltin="1"/>
    <cellStyle name="나쁨" xfId="11418" builtinId="27" hidden="1" customBuiltin="1"/>
    <cellStyle name="나쁨" xfId="11451" builtinId="27" hidden="1" customBuiltin="1"/>
    <cellStyle name="나쁨" xfId="11631" builtinId="27" hidden="1" customBuiltin="1"/>
    <cellStyle name="나쁨" xfId="11555" builtinId="27" hidden="1" customBuiltin="1"/>
    <cellStyle name="나쁨" xfId="11527" builtinId="27" hidden="1" customBuiltin="1"/>
    <cellStyle name="나쁨" xfId="11554" builtinId="27" hidden="1" customBuiltin="1"/>
    <cellStyle name="나쁨" xfId="11622" builtinId="27" hidden="1" customBuiltin="1"/>
    <cellStyle name="나쁨" xfId="11605" builtinId="27" hidden="1" customBuiltin="1"/>
    <cellStyle name="나쁨" xfId="11462" builtinId="27" hidden="1" customBuiltin="1"/>
    <cellStyle name="나쁨" xfId="11637" builtinId="27" hidden="1" customBuiltin="1"/>
    <cellStyle name="나쁨" xfId="11402" builtinId="27" hidden="1" customBuiltin="1"/>
    <cellStyle name="나쁨" xfId="11388" builtinId="27" hidden="1" customBuiltin="1"/>
    <cellStyle name="나쁨" xfId="11523" builtinId="27" hidden="1" customBuiltin="1"/>
    <cellStyle name="나쁨" xfId="11691" builtinId="27" hidden="1" customBuiltin="1"/>
    <cellStyle name="나쁨" xfId="11419" builtinId="27" hidden="1" customBuiltin="1"/>
    <cellStyle name="나쁨" xfId="11477" builtinId="27" hidden="1" customBuiltin="1"/>
    <cellStyle name="나쁨" xfId="11401" builtinId="27" hidden="1" customBuiltin="1"/>
    <cellStyle name="나쁨" xfId="11485" builtinId="27" hidden="1" customBuiltin="1"/>
    <cellStyle name="나쁨" xfId="11481" builtinId="27" hidden="1" customBuiltin="1"/>
    <cellStyle name="나쁨" xfId="11519" builtinId="27" hidden="1" customBuiltin="1"/>
    <cellStyle name="나쁨" xfId="11591" builtinId="27" hidden="1" customBuiltin="1"/>
    <cellStyle name="나쁨" xfId="11492" builtinId="27" hidden="1" customBuiltin="1"/>
    <cellStyle name="나쁨" xfId="11476" builtinId="27" hidden="1" customBuiltin="1"/>
    <cellStyle name="나쁨" xfId="11358" builtinId="27" hidden="1" customBuiltin="1"/>
    <cellStyle name="나쁨" xfId="11459" builtinId="27" hidden="1" customBuiltin="1"/>
    <cellStyle name="나쁨" xfId="11619" builtinId="27" hidden="1" customBuiltin="1"/>
    <cellStyle name="나쁨" xfId="11412" builtinId="27" hidden="1" customBuiltin="1"/>
    <cellStyle name="나쁨" xfId="11130" builtinId="27" hidden="1" customBuiltin="1"/>
    <cellStyle name="나쁨" xfId="11662" builtinId="27" hidden="1" customBuiltin="1"/>
    <cellStyle name="나쁨" xfId="11097" builtinId="27" hidden="1" customBuiltin="1"/>
    <cellStyle name="나쁨" xfId="11497" builtinId="27" hidden="1" customBuiltin="1"/>
    <cellStyle name="나쁨" xfId="11302" builtinId="27" hidden="1" customBuiltin="1"/>
    <cellStyle name="나쁨" xfId="11487" builtinId="27" hidden="1" customBuiltin="1"/>
    <cellStyle name="나쁨" xfId="11275" builtinId="27" hidden="1" customBuiltin="1"/>
    <cellStyle name="나쁨" xfId="11539" builtinId="27" hidden="1" customBuiltin="1"/>
    <cellStyle name="나쁨" xfId="11568" builtinId="27" hidden="1" customBuiltin="1"/>
    <cellStyle name="나쁨" xfId="11458" builtinId="27" hidden="1" customBuiltin="1"/>
    <cellStyle name="나쁨" xfId="11556" builtinId="27" hidden="1" customBuiltin="1"/>
    <cellStyle name="나쁨" xfId="11440" builtinId="27" hidden="1" customBuiltin="1"/>
    <cellStyle name="나쁨" xfId="11352" builtinId="27" hidden="1" customBuiltin="1"/>
    <cellStyle name="나쁨" xfId="11724" builtinId="27" hidden="1" customBuiltin="1"/>
    <cellStyle name="나쁨" xfId="11721" builtinId="27" hidden="1" customBuiltin="1"/>
    <cellStyle name="나쁨" xfId="11720" builtinId="27" hidden="1" customBuiltin="1"/>
    <cellStyle name="나쁨" xfId="11722" builtinId="27" hidden="1" customBuiltin="1"/>
    <cellStyle name="나쁨" xfId="11719" builtinId="27" hidden="1" customBuiltin="1"/>
    <cellStyle name="나쁨" xfId="11723" builtinId="27" hidden="1" customBuiltin="1"/>
    <cellStyle name="나쁨" xfId="11725" builtinId="27" hidden="1" customBuiltin="1"/>
    <cellStyle name="나쁨" xfId="11299" builtinId="27" hidden="1" customBuiltin="1"/>
    <cellStyle name="나쁨" xfId="11569" builtinId="27" hidden="1" customBuiltin="1"/>
    <cellStyle name="나쁨" xfId="11654" builtinId="27" hidden="1" customBuiltin="1"/>
    <cellStyle name="나쁨" xfId="11342" builtinId="27" hidden="1" customBuiltin="1"/>
    <cellStyle name="나쁨" xfId="11426" builtinId="27" hidden="1" customBuiltin="1"/>
    <cellStyle name="나쁨" xfId="11124" builtinId="27" hidden="1" customBuiltin="1"/>
    <cellStyle name="나쁨" xfId="11310" builtinId="27" hidden="1" customBuiltin="1"/>
    <cellStyle name="나쁨" xfId="11374" builtinId="27" hidden="1" customBuiltin="1"/>
    <cellStyle name="나쁨" xfId="11150" builtinId="27" hidden="1" customBuiltin="1"/>
    <cellStyle name="나쁨" xfId="11098" builtinId="27" hidden="1" customBuiltin="1"/>
    <cellStyle name="나쁨" xfId="11393" builtinId="27" hidden="1" customBuiltin="1"/>
    <cellStyle name="나쁨" xfId="11445" builtinId="27" hidden="1" customBuiltin="1"/>
    <cellStyle name="나쁨" xfId="11279" builtinId="27" hidden="1" customBuiltin="1"/>
    <cellStyle name="나쁨" xfId="11639" builtinId="27" hidden="1" customBuiltin="1"/>
    <cellStyle name="나쁨" xfId="11535" builtinId="27" hidden="1" customBuiltin="1"/>
    <cellStyle name="나쁨" xfId="11581" builtinId="27" hidden="1" customBuiltin="1"/>
    <cellStyle name="나쁨" xfId="11615" builtinId="27" hidden="1" customBuiltin="1"/>
    <cellStyle name="나쁨" xfId="11635" builtinId="27" hidden="1" customBuiltin="1"/>
    <cellStyle name="나쁨" xfId="11278" builtinId="27" hidden="1" customBuiltin="1"/>
    <cellStyle name="나쁨" xfId="11717" builtinId="27" hidden="1" customBuiltin="1"/>
    <cellStyle name="나쁨" xfId="11617" builtinId="27" hidden="1" customBuiltin="1"/>
    <cellStyle name="나쁨" xfId="11531" builtinId="27" hidden="1" customBuiltin="1"/>
    <cellStyle name="나쁨" xfId="11560" builtinId="27" hidden="1" customBuiltin="1"/>
    <cellStyle name="나쁨" xfId="11606" builtinId="27" hidden="1" customBuiltin="1"/>
    <cellStyle name="나쁨" xfId="11561" builtinId="27" hidden="1" customBuiltin="1"/>
    <cellStyle name="나쁨" xfId="2315" builtinId="27" hidden="1" customBuiltin="1"/>
    <cellStyle name="나쁨" xfId="11683" builtinId="27" hidden="1" customBuiltin="1"/>
    <cellStyle name="나쁨" xfId="11648" builtinId="27" hidden="1" customBuiltin="1"/>
    <cellStyle name="나쁨" xfId="11151" builtinId="27" hidden="1" customBuiltin="1"/>
    <cellStyle name="나쁨" xfId="11384" builtinId="27" hidden="1" customBuiltin="1"/>
    <cellStyle name="나쁨" xfId="11633" builtinId="27" hidden="1" customBuiltin="1"/>
    <cellStyle name="나쁨" xfId="11673" builtinId="27" hidden="1" customBuiltin="1"/>
    <cellStyle name="나쁨" xfId="11518" builtinId="27" hidden="1" customBuiltin="1"/>
    <cellStyle name="나쁨" xfId="11599" builtinId="27" hidden="1" customBuiltin="1"/>
    <cellStyle name="나쁨" xfId="11484" builtinId="27" hidden="1" customBuiltin="1"/>
    <cellStyle name="나쁨" xfId="11607" builtinId="27" hidden="1" customBuiltin="1"/>
    <cellStyle name="나쁨" xfId="11671" builtinId="27" hidden="1" customBuiltin="1"/>
    <cellStyle name="나쁨" xfId="11483" builtinId="27" hidden="1" customBuiltin="1"/>
    <cellStyle name="나쁨" xfId="11336" builtinId="27" hidden="1" customBuiltin="1"/>
    <cellStyle name="나쁨" xfId="11534" builtinId="27" hidden="1" customBuiltin="1"/>
    <cellStyle name="나쁨" xfId="11432" builtinId="27" hidden="1" customBuiltin="1"/>
    <cellStyle name="나쁨" xfId="11612" builtinId="27" hidden="1" customBuiltin="1"/>
    <cellStyle name="나쁨" xfId="11653" builtinId="27" hidden="1" customBuiltin="1"/>
    <cellStyle name="나쁨" xfId="11154" builtinId="27" hidden="1" customBuiltin="1"/>
    <cellStyle name="나쁨" xfId="11592" builtinId="27" hidden="1" customBuiltin="1"/>
    <cellStyle name="나쁨" xfId="11651" builtinId="27" hidden="1" customBuiltin="1"/>
    <cellStyle name="나쁨" xfId="11448" builtinId="27" hidden="1" customBuiltin="1"/>
    <cellStyle name="나쁨" xfId="11430" builtinId="27" hidden="1" customBuiltin="1"/>
    <cellStyle name="나쁨" xfId="11474" builtinId="27" hidden="1" customBuiltin="1"/>
    <cellStyle name="나쁨" xfId="11641" builtinId="27" hidden="1" customBuiltin="1"/>
    <cellStyle name="나쁨" xfId="11457" builtinId="27" hidden="1" customBuiltin="1"/>
    <cellStyle name="나쁨" xfId="11634" builtinId="27" hidden="1" customBuiltin="1"/>
    <cellStyle name="나쁨" xfId="11373" builtinId="27" hidden="1" customBuiltin="1"/>
    <cellStyle name="나쁨" xfId="11324" builtinId="27" hidden="1" customBuiltin="1"/>
    <cellStyle name="나쁨" xfId="11577" builtinId="27" hidden="1" customBuiltin="1"/>
    <cellStyle name="나쁨" xfId="11452" builtinId="27" hidden="1" customBuiltin="1"/>
    <cellStyle name="나쁨" xfId="11508" builtinId="27" hidden="1" customBuiltin="1"/>
    <cellStyle name="나쁨" xfId="11109" builtinId="27" hidden="1" customBuiltin="1"/>
    <cellStyle name="나쁨" xfId="11597" builtinId="27" hidden="1" customBuiltin="1"/>
    <cellStyle name="나쁨" xfId="11602" builtinId="27" hidden="1" customBuiltin="1"/>
    <cellStyle name="나쁨" xfId="11284" builtinId="27" hidden="1" customBuiltin="1"/>
    <cellStyle name="나쁨" xfId="11563" builtinId="27" hidden="1" customBuiltin="1"/>
    <cellStyle name="나쁨" xfId="11394" builtinId="27" hidden="1" customBuiltin="1"/>
    <cellStyle name="나쁨" xfId="11578" builtinId="27" hidden="1" customBuiltin="1"/>
    <cellStyle name="나쁨" xfId="11609" builtinId="27" hidden="1" customBuiltin="1"/>
    <cellStyle name="나쁨" xfId="11438" builtinId="27" hidden="1" customBuiltin="1"/>
    <cellStyle name="나쁨" xfId="11501" builtinId="27" hidden="1" customBuiltin="1"/>
    <cellStyle name="나쁨" xfId="11369" builtinId="27" hidden="1" customBuiltin="1"/>
    <cellStyle name="나쁨" xfId="11623" builtinId="27" hidden="1" customBuiltin="1"/>
    <cellStyle name="나쁨" xfId="11100" builtinId="27" hidden="1" customBuiltin="1"/>
    <cellStyle name="나쁨" xfId="11416" builtinId="27" hidden="1" customBuiltin="1"/>
    <cellStyle name="나쁨" xfId="11453" builtinId="27" hidden="1" customBuiltin="1"/>
    <cellStyle name="나쁨" xfId="1763" builtinId="27" hidden="1" customBuiltin="1"/>
    <cellStyle name="나쁨" xfId="11585" builtinId="27" hidden="1" customBuiltin="1"/>
    <cellStyle name="나쁨" xfId="11406" builtinId="27" hidden="1" customBuiltin="1"/>
    <cellStyle name="나쁨" xfId="11387" builtinId="27" hidden="1" customBuiltin="1"/>
    <cellStyle name="나쁨" xfId="11439" builtinId="27" hidden="1" customBuiltin="1"/>
    <cellStyle name="나쁨" xfId="11295" builtinId="27" hidden="1" customBuiltin="1"/>
    <cellStyle name="나쁨" xfId="11515" builtinId="27" hidden="1" customBuiltin="1"/>
    <cellStyle name="나쁨" xfId="11344" builtinId="27" hidden="1" customBuiltin="1"/>
    <cellStyle name="나쁨" xfId="11463" builtinId="27" hidden="1" customBuiltin="1"/>
    <cellStyle name="나쁨" xfId="11573" builtinId="27" hidden="1" customBuiltin="1"/>
    <cellStyle name="나쁨" xfId="11096" builtinId="27" hidden="1" customBuiltin="1"/>
    <cellStyle name="나쁨" xfId="11504" builtinId="27" hidden="1" customBuiltin="1"/>
    <cellStyle name="나쁨" xfId="11716" builtinId="27" hidden="1" customBuiltin="1"/>
    <cellStyle name="나쁨" xfId="11289" builtinId="27" hidden="1" customBuiltin="1"/>
    <cellStyle name="나쁨" xfId="11649" builtinId="27" hidden="1" customBuiltin="1"/>
    <cellStyle name="나쁨" xfId="11661" builtinId="27" hidden="1" customBuiltin="1"/>
    <cellStyle name="나쁨" xfId="11399" builtinId="27" hidden="1" customBuiltin="1"/>
    <cellStyle name="나쁨" xfId="11530" builtinId="27" hidden="1" customBuiltin="1"/>
    <cellStyle name="나쁨" xfId="11396" builtinId="27" hidden="1" customBuiltin="1"/>
    <cellStyle name="나쁨" xfId="11294" builtinId="27" hidden="1" customBuiltin="1"/>
    <cellStyle name="나쁨" xfId="11326" builtinId="27" hidden="1" customBuiltin="1"/>
    <cellStyle name="나쁨" xfId="11307" builtinId="27" hidden="1" customBuiltin="1"/>
    <cellStyle name="나쁨" xfId="11470" builtinId="27" hidden="1" customBuiltin="1"/>
    <cellStyle name="나쁨" xfId="11707" builtinId="27" hidden="1" customBuiltin="1"/>
    <cellStyle name="나쁨" xfId="11593" builtinId="27" hidden="1" customBuiltin="1"/>
    <cellStyle name="나쁨" xfId="11702" builtinId="27" hidden="1" customBuiltin="1"/>
    <cellStyle name="나쁨" xfId="11718" builtinId="27" hidden="1" customBuiltin="1"/>
    <cellStyle name="나쁨" xfId="11629" builtinId="27" hidden="1" customBuiltin="1"/>
    <cellStyle name="나쁨" xfId="11340" builtinId="27" hidden="1" customBuiltin="1"/>
    <cellStyle name="나쁨" xfId="11705" builtinId="27" hidden="1" customBuiltin="1"/>
    <cellStyle name="나쁨" xfId="11613" builtinId="27" hidden="1" customBuiltin="1"/>
    <cellStyle name="나쁨" xfId="11466" builtinId="27" hidden="1" customBuiltin="1"/>
    <cellStyle name="나쁨" xfId="11404" builtinId="27" hidden="1" customBuiltin="1"/>
    <cellStyle name="나쁨" xfId="11346" builtinId="27" hidden="1" customBuiltin="1"/>
    <cellStyle name="나쁨" xfId="11386" builtinId="27" hidden="1" customBuiltin="1"/>
    <cellStyle name="나쁨" xfId="11491" builtinId="27" hidden="1" customBuiltin="1"/>
    <cellStyle name="나쁨" xfId="11566" builtinId="27" hidden="1" customBuiltin="1"/>
    <cellStyle name="나쁨" xfId="11329" builtinId="27" hidden="1" customBuiltin="1"/>
    <cellStyle name="나쁨" xfId="11567" builtinId="27" hidden="1" customBuiltin="1"/>
    <cellStyle name="나쁨" xfId="11341" builtinId="27" hidden="1" customBuiltin="1"/>
    <cellStyle name="나쁨" xfId="11582" builtinId="27" hidden="1" customBuiltin="1"/>
    <cellStyle name="나쁨" xfId="11390" builtinId="27" hidden="1" customBuiltin="1"/>
    <cellStyle name="나쁨" xfId="11467" builtinId="27" hidden="1" customBuiltin="1"/>
    <cellStyle name="나쁨" xfId="11594" builtinId="27" hidden="1" customBuiltin="1"/>
    <cellStyle name="나쁨" xfId="11545" builtinId="27" hidden="1" customBuiltin="1"/>
    <cellStyle name="나쁨" xfId="11690" builtinId="27" hidden="1" customBuiltin="1"/>
    <cellStyle name="나쁨" xfId="11397" builtinId="27" hidden="1" customBuiltin="1"/>
    <cellStyle name="나쁨" xfId="11645" builtinId="27" hidden="1" customBuiltin="1"/>
    <cellStyle name="나쁨" xfId="11469" builtinId="27" hidden="1" customBuiltin="1"/>
    <cellStyle name="나쁨" xfId="11308" builtinId="27" hidden="1" customBuiltin="1"/>
    <cellStyle name="나쁨" xfId="11309" builtinId="27" hidden="1" customBuiltin="1"/>
    <cellStyle name="나쁨" xfId="11104" builtinId="27" hidden="1" customBuiltin="1"/>
    <cellStyle name="나쁨" xfId="11337" builtinId="27" hidden="1" customBuiltin="1"/>
    <cellStyle name="나쁨" xfId="11408" builtinId="27" hidden="1" customBuiltin="1"/>
    <cellStyle name="나쁨" xfId="11517" builtinId="27" hidden="1" customBuiltin="1"/>
    <cellStyle name="나쁨" xfId="11706" builtinId="27" hidden="1" customBuiltin="1"/>
    <cellStyle name="나쁨" xfId="11405" builtinId="27" hidden="1" customBuiltin="1"/>
    <cellStyle name="나쁨" xfId="11656" builtinId="27" hidden="1" customBuiltin="1"/>
    <cellStyle name="나쁨" xfId="11507" builtinId="27" hidden="1" customBuiltin="1"/>
    <cellStyle name="나쁨" xfId="11106" builtinId="27" hidden="1" customBuiltin="1"/>
    <cellStyle name="나쁨" xfId="11301" builtinId="27" hidden="1" customBuiltin="1"/>
    <cellStyle name="나쁨" xfId="11288" builtinId="27" hidden="1" customBuiltin="1"/>
    <cellStyle name="나쁨" xfId="11685" builtinId="27" hidden="1" customBuiltin="1"/>
    <cellStyle name="나쁨" xfId="11628" builtinId="27" hidden="1" customBuiltin="1"/>
    <cellStyle name="나쁨" xfId="11532" builtinId="27" hidden="1" customBuiltin="1"/>
    <cellStyle name="나쁨" xfId="11520" builtinId="27" hidden="1" customBuiltin="1"/>
    <cellStyle name="나쁨" xfId="11692" builtinId="27" hidden="1" customBuiltin="1"/>
    <cellStyle name="나쁨" xfId="11368" builtinId="27" hidden="1" customBuiltin="1"/>
    <cellStyle name="나쁨" xfId="11680" builtinId="27" hidden="1" customBuiltin="1"/>
    <cellStyle name="나쁨" xfId="11598" builtinId="27" hidden="1" customBuiltin="1"/>
    <cellStyle name="나쁨" xfId="1831" builtinId="27" hidden="1" customBuiltin="1"/>
    <cellStyle name="나쁨" xfId="11510" builtinId="27" hidden="1" customBuiltin="1"/>
    <cellStyle name="나쁨" xfId="11359" builtinId="27" hidden="1" customBuiltin="1"/>
    <cellStyle name="나쁨" xfId="11385" builtinId="27" hidden="1" customBuiltin="1"/>
    <cellStyle name="나쁨" xfId="11287" builtinId="27" hidden="1" customBuiltin="1"/>
    <cellStyle name="나쁨" xfId="11371" builtinId="27" hidden="1" customBuiltin="1"/>
    <cellStyle name="나쁨" xfId="11417" builtinId="27" hidden="1" customBuiltin="1"/>
    <cellStyle name="나쁨" xfId="11356" builtinId="27" hidden="1" customBuiltin="1"/>
    <cellStyle name="나쁨" xfId="11362" builtinId="27" hidden="1" customBuiltin="1"/>
    <cellStyle name="나쁨" xfId="11389" builtinId="27" hidden="1" customBuiltin="1"/>
    <cellStyle name="나쁨" xfId="11490" builtinId="27" hidden="1" customBuiltin="1"/>
    <cellStyle name="나쁨" xfId="11274" builtinId="27" hidden="1" customBuiltin="1"/>
    <cellStyle name="나쁨" xfId="11731" builtinId="27" hidden="1" customBuiltin="1"/>
    <cellStyle name="나쁨" xfId="11728" builtinId="27" hidden="1" customBuiltin="1"/>
    <cellStyle name="나쁨" xfId="11727" builtinId="27" hidden="1" customBuiltin="1"/>
    <cellStyle name="나쁨" xfId="11729" builtinId="27" hidden="1" customBuiltin="1"/>
    <cellStyle name="나쁨" xfId="11726" builtinId="27" hidden="1" customBuiltin="1"/>
    <cellStyle name="나쁨" xfId="11730" builtinId="27" hidden="1" customBuiltin="1"/>
    <cellStyle name="나쁨" xfId="11732" builtinId="27" customBuiltin="1"/>
    <cellStyle name="나쁨 2" xfId="143"/>
    <cellStyle name="나쁨 3" xfId="669"/>
    <cellStyle name="메모" xfId="28" builtinId="10" customBuiltin="1"/>
    <cellStyle name="메모 10" xfId="1389"/>
    <cellStyle name="메모 2" xfId="29"/>
    <cellStyle name="메모 2 2" xfId="3658"/>
    <cellStyle name="메모 3" xfId="30"/>
    <cellStyle name="메모 3 2" xfId="3659"/>
    <cellStyle name="메모 4" xfId="31"/>
    <cellStyle name="메모 4 2" xfId="3660"/>
    <cellStyle name="메모 5" xfId="32"/>
    <cellStyle name="메모 5 2" xfId="3661"/>
    <cellStyle name="메모 6" xfId="33"/>
    <cellStyle name="메모 6 2" xfId="3662"/>
    <cellStyle name="메모 7" xfId="34"/>
    <cellStyle name="메모 7 2" xfId="3663"/>
    <cellStyle name="메모 8" xfId="144"/>
    <cellStyle name="메모 8 2" xfId="974"/>
    <cellStyle name="메모 8 3" xfId="952"/>
    <cellStyle name="메모 8 3 2" xfId="2574"/>
    <cellStyle name="메모 8 3 2 2" xfId="13852"/>
    <cellStyle name="메모 8 3 3" xfId="12392"/>
    <cellStyle name="메모 9" xfId="670"/>
    <cellStyle name="메모 9 10" xfId="3636"/>
    <cellStyle name="메모 9 10 2" xfId="8535"/>
    <cellStyle name="메모 9 10 2 2" xfId="19783"/>
    <cellStyle name="메모 9 10 3" xfId="6097"/>
    <cellStyle name="메모 9 10 3 2" xfId="17345"/>
    <cellStyle name="메모 9 10 4" xfId="14907"/>
    <cellStyle name="메모 9 11" xfId="8356"/>
    <cellStyle name="메모 9 11 2" xfId="19604"/>
    <cellStyle name="메모 9 12" xfId="5918"/>
    <cellStyle name="메모 9 12 2" xfId="17166"/>
    <cellStyle name="메모 9 13" xfId="10802"/>
    <cellStyle name="메모 9 13 2" xfId="22050"/>
    <cellStyle name="메모 9 14" xfId="3450"/>
    <cellStyle name="메모 9 14 2" xfId="14728"/>
    <cellStyle name="메모 9 2" xfId="814"/>
    <cellStyle name="메모 9 2 10" xfId="2440"/>
    <cellStyle name="메모 9 2 10 2" xfId="13835"/>
    <cellStyle name="메모 9 2 11" xfId="12375"/>
    <cellStyle name="메모 9 2 2" xfId="1466"/>
    <cellStyle name="메모 9 2 2 2" xfId="4474"/>
    <cellStyle name="메모 9 2 2 2 2" xfId="5466"/>
    <cellStyle name="메모 9 2 2 2 2 2" xfId="10343"/>
    <cellStyle name="메모 9 2 2 2 2 2 2" xfId="21591"/>
    <cellStyle name="메모 9 2 2 2 2 3" xfId="7905"/>
    <cellStyle name="메모 9 2 2 2 2 3 2" xfId="19153"/>
    <cellStyle name="메모 9 2 2 2 2 4" xfId="16715"/>
    <cellStyle name="메모 9 2 2 2 3" xfId="9353"/>
    <cellStyle name="메모 9 2 2 2 3 2" xfId="20601"/>
    <cellStyle name="메모 9 2 2 2 4" xfId="6915"/>
    <cellStyle name="메모 9 2 2 2 4 2" xfId="18163"/>
    <cellStyle name="메모 9 2 2 2 5" xfId="15725"/>
    <cellStyle name="메모 9 2 2 3" xfId="5013"/>
    <cellStyle name="메모 9 2 2 3 2" xfId="9890"/>
    <cellStyle name="메모 9 2 2 3 2 2" xfId="21138"/>
    <cellStyle name="메모 9 2 2 3 3" xfId="7452"/>
    <cellStyle name="메모 9 2 2 3 3 2" xfId="18700"/>
    <cellStyle name="메모 9 2 2 3 4" xfId="16262"/>
    <cellStyle name="메모 9 2 2 4" xfId="8900"/>
    <cellStyle name="메모 9 2 2 4 2" xfId="20148"/>
    <cellStyle name="메모 9 2 2 5" xfId="6462"/>
    <cellStyle name="메모 9 2 2 5 2" xfId="17710"/>
    <cellStyle name="메모 9 2 2 6" xfId="11070"/>
    <cellStyle name="메모 9 2 2 6 2" xfId="22317"/>
    <cellStyle name="메모 9 2 2 7" xfId="4021"/>
    <cellStyle name="메모 9 2 2 7 2" xfId="15272"/>
    <cellStyle name="메모 9 2 2 8" xfId="3080"/>
    <cellStyle name="메모 9 2 2 8 2" xfId="14358"/>
    <cellStyle name="메모 9 2 2 9" xfId="12898"/>
    <cellStyle name="메모 9 2 3" xfId="4247"/>
    <cellStyle name="메모 9 2 3 2" xfId="5239"/>
    <cellStyle name="메모 9 2 3 2 2" xfId="10116"/>
    <cellStyle name="메모 9 2 3 2 2 2" xfId="21364"/>
    <cellStyle name="메모 9 2 3 2 3" xfId="7678"/>
    <cellStyle name="메모 9 2 3 2 3 2" xfId="18926"/>
    <cellStyle name="메모 9 2 3 2 4" xfId="16488"/>
    <cellStyle name="메모 9 2 3 3" xfId="9126"/>
    <cellStyle name="메모 9 2 3 3 2" xfId="20374"/>
    <cellStyle name="메모 9 2 3 4" xfId="6688"/>
    <cellStyle name="메모 9 2 3 4 2" xfId="17936"/>
    <cellStyle name="메모 9 2 3 5" xfId="15498"/>
    <cellStyle name="메모 9 2 4" xfId="4787"/>
    <cellStyle name="메모 9 2 4 2" xfId="9664"/>
    <cellStyle name="메모 9 2 4 2 2" xfId="20912"/>
    <cellStyle name="메모 9 2 4 3" xfId="7226"/>
    <cellStyle name="메모 9 2 4 3 2" xfId="18474"/>
    <cellStyle name="메모 9 2 4 4" xfId="16036"/>
    <cellStyle name="메모 9 2 5" xfId="3795"/>
    <cellStyle name="메모 9 2 5 2" xfId="8674"/>
    <cellStyle name="메모 9 2 5 2 2" xfId="19922"/>
    <cellStyle name="메모 9 2 5 3" xfId="6236"/>
    <cellStyle name="메모 9 2 5 3 2" xfId="17484"/>
    <cellStyle name="메모 9 2 5 4" xfId="15046"/>
    <cellStyle name="메모 9 2 6" xfId="8439"/>
    <cellStyle name="메모 9 2 6 2" xfId="19687"/>
    <cellStyle name="메모 9 2 7" xfId="6001"/>
    <cellStyle name="메모 9 2 7 2" xfId="17249"/>
    <cellStyle name="메모 9 2 8" xfId="10885"/>
    <cellStyle name="메모 9 2 8 2" xfId="22133"/>
    <cellStyle name="메모 9 2 9" xfId="3539"/>
    <cellStyle name="메모 9 2 9 2" xfId="14811"/>
    <cellStyle name="메모 9 3" xfId="1376"/>
    <cellStyle name="메모 9 3 2" xfId="4388"/>
    <cellStyle name="메모 9 3 2 2" xfId="5380"/>
    <cellStyle name="메모 9 3 2 2 2" xfId="10257"/>
    <cellStyle name="메모 9 3 2 2 2 2" xfId="21505"/>
    <cellStyle name="메모 9 3 2 2 3" xfId="7819"/>
    <cellStyle name="메모 9 3 2 2 3 2" xfId="19067"/>
    <cellStyle name="메모 9 3 2 2 4" xfId="16629"/>
    <cellStyle name="메모 9 3 2 3" xfId="9267"/>
    <cellStyle name="메모 9 3 2 3 2" xfId="20515"/>
    <cellStyle name="메모 9 3 2 4" xfId="6829"/>
    <cellStyle name="메모 9 3 2 4 2" xfId="18077"/>
    <cellStyle name="메모 9 3 2 5" xfId="15639"/>
    <cellStyle name="메모 9 3 3" xfId="4927"/>
    <cellStyle name="메모 9 3 3 2" xfId="9804"/>
    <cellStyle name="메모 9 3 3 2 2" xfId="21052"/>
    <cellStyle name="메모 9 3 3 3" xfId="7366"/>
    <cellStyle name="메모 9 3 3 3 2" xfId="18614"/>
    <cellStyle name="메모 9 3 3 4" xfId="16176"/>
    <cellStyle name="메모 9 3 4" xfId="8814"/>
    <cellStyle name="메모 9 3 4 2" xfId="20062"/>
    <cellStyle name="메모 9 3 5" xfId="6376"/>
    <cellStyle name="메모 9 3 5 2" xfId="17624"/>
    <cellStyle name="메모 9 3 6" xfId="10987"/>
    <cellStyle name="메모 9 3 6 2" xfId="22234"/>
    <cellStyle name="메모 9 3 7" xfId="3935"/>
    <cellStyle name="메모 9 3 7 2" xfId="15186"/>
    <cellStyle name="메모 9 3 8" xfId="2997"/>
    <cellStyle name="메모 9 3 8 2" xfId="14275"/>
    <cellStyle name="메모 9 3 9" xfId="12815"/>
    <cellStyle name="메모 9 4" xfId="4161"/>
    <cellStyle name="메모 9 4 2" xfId="5153"/>
    <cellStyle name="메모 9 4 2 2" xfId="10030"/>
    <cellStyle name="메모 9 4 2 2 2" xfId="21278"/>
    <cellStyle name="메모 9 4 2 3" xfId="7592"/>
    <cellStyle name="메모 9 4 2 3 2" xfId="18840"/>
    <cellStyle name="메모 9 4 2 4" xfId="16402"/>
    <cellStyle name="메모 9 4 3" xfId="9040"/>
    <cellStyle name="메모 9 4 3 2" xfId="20288"/>
    <cellStyle name="메모 9 4 4" xfId="6602"/>
    <cellStyle name="메모 9 4 4 2" xfId="17850"/>
    <cellStyle name="메모 9 4 5" xfId="15412"/>
    <cellStyle name="메모 9 5" xfId="4570"/>
    <cellStyle name="메모 9 5 2" xfId="5560"/>
    <cellStyle name="메모 9 5 2 2" xfId="10437"/>
    <cellStyle name="메모 9 5 2 2 2" xfId="21685"/>
    <cellStyle name="메모 9 5 2 3" xfId="7999"/>
    <cellStyle name="메모 9 5 2 3 2" xfId="19247"/>
    <cellStyle name="메모 9 5 2 4" xfId="16809"/>
    <cellStyle name="메모 9 5 3" xfId="9447"/>
    <cellStyle name="메모 9 5 3 2" xfId="20695"/>
    <cellStyle name="메모 9 5 4" xfId="7009"/>
    <cellStyle name="메모 9 5 4 2" xfId="18257"/>
    <cellStyle name="메모 9 5 5" xfId="15819"/>
    <cellStyle name="메모 9 6" xfId="4701"/>
    <cellStyle name="메모 9 6 2" xfId="9578"/>
    <cellStyle name="메모 9 6 2 2" xfId="20826"/>
    <cellStyle name="메모 9 6 3" xfId="7140"/>
    <cellStyle name="메모 9 6 3 2" xfId="18388"/>
    <cellStyle name="메모 9 6 4" xfId="15950"/>
    <cellStyle name="메모 9 7" xfId="5644"/>
    <cellStyle name="메모 9 7 2" xfId="10521"/>
    <cellStyle name="메모 9 7 2 2" xfId="21769"/>
    <cellStyle name="메모 9 7 3" xfId="8083"/>
    <cellStyle name="메모 9 7 3 2" xfId="19331"/>
    <cellStyle name="메모 9 7 4" xfId="16893"/>
    <cellStyle name="메모 9 8" xfId="5750"/>
    <cellStyle name="메모 9 8 2" xfId="10627"/>
    <cellStyle name="메모 9 8 2 2" xfId="21875"/>
    <cellStyle name="메모 9 8 3" xfId="8189"/>
    <cellStyle name="메모 9 8 3 2" xfId="19437"/>
    <cellStyle name="메모 9 8 4" xfId="16999"/>
    <cellStyle name="메모 9 9" xfId="5833"/>
    <cellStyle name="메모 9 9 2" xfId="10710"/>
    <cellStyle name="메모 9 9 2 2" xfId="21958"/>
    <cellStyle name="메모 9 9 3" xfId="8272"/>
    <cellStyle name="메모 9 9 3 2" xfId="19520"/>
    <cellStyle name="메모 9 9 4" xfId="17082"/>
    <cellStyle name="보통" xfId="35" builtinId="28" customBuiltin="1"/>
    <cellStyle name="보통 2" xfId="145"/>
    <cellStyle name="보통 3" xfId="671"/>
    <cellStyle name="보통 3 2" xfId="813"/>
    <cellStyle name="보통 4" xfId="1388"/>
    <cellStyle name="새로운 번역 2" xfId="5842"/>
    <cellStyle name="설명 텍스트" xfId="36" builtinId="53" customBuiltin="1"/>
    <cellStyle name="설명 텍스트 2" xfId="146"/>
    <cellStyle name="설명 텍스트 3" xfId="672"/>
    <cellStyle name="셀 확인" xfId="37" builtinId="23" customBuiltin="1"/>
    <cellStyle name="셀 확인 2" xfId="147"/>
    <cellStyle name="셀 확인 3" xfId="673"/>
    <cellStyle name="셀 확인 3 2" xfId="816"/>
    <cellStyle name="셀 확인 4" xfId="1387"/>
    <cellStyle name="연결된 셀" xfId="38" builtinId="24" customBuiltin="1"/>
    <cellStyle name="연결된 셀 2" xfId="148"/>
    <cellStyle name="연결된 셀 3" xfId="674"/>
    <cellStyle name="요약" xfId="39" builtinId="25" customBuiltin="1"/>
    <cellStyle name="요약 2" xfId="149"/>
    <cellStyle name="요약 3" xfId="675"/>
    <cellStyle name="입력" xfId="40" builtinId="20" customBuiltin="1"/>
    <cellStyle name="입력 2" xfId="150"/>
    <cellStyle name="입력 3" xfId="676"/>
    <cellStyle name="제목" xfId="41" builtinId="15" customBuiltin="1"/>
    <cellStyle name="제목 1" xfId="42" builtinId="16" customBuiltin="1"/>
    <cellStyle name="제목 1 2" xfId="152"/>
    <cellStyle name="제목 1 3" xfId="678"/>
    <cellStyle name="제목 2" xfId="43" builtinId="17" customBuiltin="1"/>
    <cellStyle name="제목 2 2" xfId="153"/>
    <cellStyle name="제목 2 3" xfId="679"/>
    <cellStyle name="제목 3" xfId="44" builtinId="18" customBuiltin="1"/>
    <cellStyle name="제목 3 2" xfId="154"/>
    <cellStyle name="제목 3 3" xfId="680"/>
    <cellStyle name="제목 4" xfId="45" builtinId="19" customBuiltin="1"/>
    <cellStyle name="제목 4 2" xfId="155"/>
    <cellStyle name="제목 4 3" xfId="681"/>
    <cellStyle name="제목 5" xfId="151"/>
    <cellStyle name="제목 6" xfId="677"/>
    <cellStyle name="좋음" xfId="46" builtinId="26" customBuiltin="1"/>
    <cellStyle name="좋음 2" xfId="156"/>
    <cellStyle name="좋음 3" xfId="682"/>
    <cellStyle name="좋음 3 2" xfId="815"/>
    <cellStyle name="좋음 4" xfId="1386"/>
    <cellStyle name="출력" xfId="47" builtinId="21" customBuiltin="1"/>
    <cellStyle name="출력 2" xfId="157"/>
    <cellStyle name="출력 3" xfId="683"/>
    <cellStyle name="표준" xfId="0" builtinId="0"/>
    <cellStyle name="표준 10" xfId="5652"/>
    <cellStyle name="표준 10 2" xfId="10529"/>
    <cellStyle name="표준 10 2 2" xfId="21777"/>
    <cellStyle name="표준 10 3" xfId="8091"/>
    <cellStyle name="표준 10 3 2" xfId="19339"/>
    <cellStyle name="표준 10 4" xfId="16901"/>
    <cellStyle name="표준 11" xfId="5674"/>
    <cellStyle name="표준 11 2" xfId="10551"/>
    <cellStyle name="표준 11 2 2" xfId="21799"/>
    <cellStyle name="표준 11 3" xfId="8113"/>
    <cellStyle name="표준 11 3 2" xfId="19361"/>
    <cellStyle name="표준 11 4" xfId="16923"/>
    <cellStyle name="표준 12" xfId="5841"/>
    <cellStyle name="표준 12 2" xfId="10718"/>
    <cellStyle name="표준 12 2 2" xfId="21966"/>
    <cellStyle name="표준 12 3" xfId="8280"/>
    <cellStyle name="표준 12 3 2" xfId="19528"/>
    <cellStyle name="표준 12 4" xfId="17090"/>
    <cellStyle name="표준 13" xfId="3556"/>
    <cellStyle name="표준 13 2" xfId="8455"/>
    <cellStyle name="표준 13 2 2" xfId="19703"/>
    <cellStyle name="표준 13 3" xfId="6017"/>
    <cellStyle name="표준 13 3 2" xfId="17265"/>
    <cellStyle name="표준 13 4" xfId="14827"/>
    <cellStyle name="표준 2" xfId="48"/>
    <cellStyle name="표준 2 10" xfId="93"/>
    <cellStyle name="표준 2 10 10" xfId="8293"/>
    <cellStyle name="표준 2 10 10 2" xfId="19541"/>
    <cellStyle name="표준 2 10 11" xfId="5855"/>
    <cellStyle name="표준 2 10 11 2" xfId="17103"/>
    <cellStyle name="표준 2 10 12" xfId="10739"/>
    <cellStyle name="표준 2 10 12 2" xfId="21987"/>
    <cellStyle name="표준 2 10 13" xfId="3387"/>
    <cellStyle name="표준 2 10 13 2" xfId="14665"/>
    <cellStyle name="표준 2 10 14" xfId="1809"/>
    <cellStyle name="표준 2 10 14 2" xfId="13238"/>
    <cellStyle name="표준 2 10 15" xfId="11778"/>
    <cellStyle name="표준 2 10 2" xfId="168"/>
    <cellStyle name="표준 2 10 2 10" xfId="3476"/>
    <cellStyle name="표준 2 10 2 10 2" xfId="14748"/>
    <cellStyle name="표준 2 10 2 11" xfId="1842"/>
    <cellStyle name="표준 2 10 2 11 2" xfId="13269"/>
    <cellStyle name="표준 2 10 2 12" xfId="11809"/>
    <cellStyle name="표준 2 10 2 2" xfId="280"/>
    <cellStyle name="표준 2 10 2 2 2" xfId="564"/>
    <cellStyle name="표준 2 10 2 2 2 2" xfId="1652"/>
    <cellStyle name="표준 2 10 2 2 2 2 2" xfId="10194"/>
    <cellStyle name="표준 2 10 2 2 2 2 2 2" xfId="21442"/>
    <cellStyle name="표준 2 10 2 2 2 2 3" xfId="7756"/>
    <cellStyle name="표준 2 10 2 2 2 2 3 2" xfId="19004"/>
    <cellStyle name="표준 2 10 2 2 2 2 4" xfId="5317"/>
    <cellStyle name="표준 2 10 2 2 2 2 4 2" xfId="16566"/>
    <cellStyle name="표준 2 10 2 2 2 2 5" xfId="3264"/>
    <cellStyle name="표준 2 10 2 2 2 2 5 2" xfId="14542"/>
    <cellStyle name="표준 2 10 2 2 2 2 6" xfId="13082"/>
    <cellStyle name="표준 2 10 2 2 2 3" xfId="9204"/>
    <cellStyle name="표준 2 10 2 2 2 3 2" xfId="20452"/>
    <cellStyle name="표준 2 10 2 2 2 4" xfId="6766"/>
    <cellStyle name="표준 2 10 2 2 2 4 2" xfId="18014"/>
    <cellStyle name="표준 2 10 2 2 2 5" xfId="4325"/>
    <cellStyle name="표준 2 10 2 2 2 5 2" xfId="15576"/>
    <cellStyle name="표준 2 10 2 2 2 6" xfId="2236"/>
    <cellStyle name="표준 2 10 2 2 2 6 2" xfId="13663"/>
    <cellStyle name="표준 2 10 2 2 2 7" xfId="12203"/>
    <cellStyle name="표준 2 10 2 2 3" xfId="1267"/>
    <cellStyle name="표준 2 10 2 2 3 2" xfId="9741"/>
    <cellStyle name="표준 2 10 2 2 3 2 2" xfId="20989"/>
    <cellStyle name="표준 2 10 2 2 3 3" xfId="7303"/>
    <cellStyle name="표준 2 10 2 2 3 3 2" xfId="18551"/>
    <cellStyle name="표준 2 10 2 2 3 4" xfId="4864"/>
    <cellStyle name="표준 2 10 2 2 3 4 2" xfId="16113"/>
    <cellStyle name="표준 2 10 2 2 3 5" xfId="2888"/>
    <cellStyle name="표준 2 10 2 2 3 5 2" xfId="14166"/>
    <cellStyle name="표준 2 10 2 2 3 6" xfId="12706"/>
    <cellStyle name="표준 2 10 2 2 4" xfId="8751"/>
    <cellStyle name="표준 2 10 2 2 4 2" xfId="19999"/>
    <cellStyle name="표준 2 10 2 2 5" xfId="6313"/>
    <cellStyle name="표준 2 10 2 2 5 2" xfId="17561"/>
    <cellStyle name="표준 2 10 2 2 6" xfId="11007"/>
    <cellStyle name="표준 2 10 2 2 6 2" xfId="22254"/>
    <cellStyle name="표준 2 10 2 2 7" xfId="3872"/>
    <cellStyle name="표준 2 10 2 2 7 2" xfId="15123"/>
    <cellStyle name="표준 2 10 2 2 8" xfId="1952"/>
    <cellStyle name="표준 2 10 2 2 8 2" xfId="13379"/>
    <cellStyle name="표준 2 10 2 2 9" xfId="11919"/>
    <cellStyle name="표준 2 10 2 3" xfId="454"/>
    <cellStyle name="표준 2 10 2 3 2" xfId="1547"/>
    <cellStyle name="표준 2 10 2 3 2 2" xfId="9967"/>
    <cellStyle name="표준 2 10 2 3 2 2 2" xfId="21215"/>
    <cellStyle name="표준 2 10 2 3 2 3" xfId="7529"/>
    <cellStyle name="표준 2 10 2 3 2 3 2" xfId="18777"/>
    <cellStyle name="표준 2 10 2 3 2 4" xfId="5090"/>
    <cellStyle name="표준 2 10 2 3 2 4 2" xfId="16339"/>
    <cellStyle name="표준 2 10 2 3 2 5" xfId="3159"/>
    <cellStyle name="표준 2 10 2 3 2 5 2" xfId="14437"/>
    <cellStyle name="표준 2 10 2 3 2 6" xfId="12977"/>
    <cellStyle name="표준 2 10 2 3 3" xfId="8977"/>
    <cellStyle name="표준 2 10 2 3 3 2" xfId="20225"/>
    <cellStyle name="표준 2 10 2 3 4" xfId="6539"/>
    <cellStyle name="표준 2 10 2 3 4 2" xfId="17787"/>
    <cellStyle name="표준 2 10 2 3 5" xfId="4098"/>
    <cellStyle name="표준 2 10 2 3 5 2" xfId="15349"/>
    <cellStyle name="표준 2 10 2 3 6" xfId="2126"/>
    <cellStyle name="표준 2 10 2 3 6 2" xfId="13553"/>
    <cellStyle name="표준 2 10 2 3 7" xfId="12093"/>
    <cellStyle name="표준 2 10 2 4" xfId="685"/>
    <cellStyle name="표준 2 10 2 4 2" xfId="9515"/>
    <cellStyle name="표준 2 10 2 4 2 2" xfId="20763"/>
    <cellStyle name="표준 2 10 2 4 3" xfId="7077"/>
    <cellStyle name="표준 2 10 2 4 3 2" xfId="18325"/>
    <cellStyle name="표준 2 10 2 4 4" xfId="4638"/>
    <cellStyle name="표준 2 10 2 4 4 2" xfId="15887"/>
    <cellStyle name="표준 2 10 2 4 5" xfId="2317"/>
    <cellStyle name="표준 2 10 2 4 5 2" xfId="13730"/>
    <cellStyle name="표준 2 10 2 4 6" xfId="12270"/>
    <cellStyle name="표준 2 10 2 5" xfId="1157"/>
    <cellStyle name="표준 2 10 2 5 2" xfId="10549"/>
    <cellStyle name="표준 2 10 2 5 2 2" xfId="21797"/>
    <cellStyle name="표준 2 10 2 5 3" xfId="8111"/>
    <cellStyle name="표준 2 10 2 5 3 2" xfId="19359"/>
    <cellStyle name="표준 2 10 2 5 4" xfId="5672"/>
    <cellStyle name="표준 2 10 2 5 4 2" xfId="16921"/>
    <cellStyle name="표준 2 10 2 5 5" xfId="2778"/>
    <cellStyle name="표준 2 10 2 5 5 2" xfId="14056"/>
    <cellStyle name="표준 2 10 2 5 6" xfId="12596"/>
    <cellStyle name="표준 2 10 2 6" xfId="3677"/>
    <cellStyle name="표준 2 10 2 6 2" xfId="8557"/>
    <cellStyle name="표준 2 10 2 6 2 2" xfId="19805"/>
    <cellStyle name="표준 2 10 2 6 3" xfId="6119"/>
    <cellStyle name="표준 2 10 2 6 3 2" xfId="17367"/>
    <cellStyle name="표준 2 10 2 6 4" xfId="14929"/>
    <cellStyle name="표준 2 10 2 7" xfId="8376"/>
    <cellStyle name="표준 2 10 2 7 2" xfId="19624"/>
    <cellStyle name="표준 2 10 2 8" xfId="5938"/>
    <cellStyle name="표준 2 10 2 8 2" xfId="17186"/>
    <cellStyle name="표준 2 10 2 9" xfId="10822"/>
    <cellStyle name="표준 2 10 2 9 2" xfId="22070"/>
    <cellStyle name="표준 2 10 3" xfId="249"/>
    <cellStyle name="표준 2 10 3 10" xfId="11888"/>
    <cellStyle name="표준 2 10 3 2" xfId="533"/>
    <cellStyle name="표준 2 10 3 2 2" xfId="1621"/>
    <cellStyle name="표준 2 10 3 2 2 2" xfId="5401"/>
    <cellStyle name="표준 2 10 3 2 2 2 2" xfId="10278"/>
    <cellStyle name="표준 2 10 3 2 2 2 2 2" xfId="21526"/>
    <cellStyle name="표준 2 10 3 2 2 2 3" xfId="7840"/>
    <cellStyle name="표준 2 10 3 2 2 2 3 2" xfId="19088"/>
    <cellStyle name="표준 2 10 3 2 2 2 4" xfId="16650"/>
    <cellStyle name="표준 2 10 3 2 2 3" xfId="9288"/>
    <cellStyle name="표준 2 10 3 2 2 3 2" xfId="20536"/>
    <cellStyle name="표준 2 10 3 2 2 4" xfId="6850"/>
    <cellStyle name="표준 2 10 3 2 2 4 2" xfId="18098"/>
    <cellStyle name="표준 2 10 3 2 2 5" xfId="4409"/>
    <cellStyle name="표준 2 10 3 2 2 5 2" xfId="15660"/>
    <cellStyle name="표준 2 10 3 2 2 6" xfId="3233"/>
    <cellStyle name="표준 2 10 3 2 2 6 2" xfId="14511"/>
    <cellStyle name="표준 2 10 3 2 2 7" xfId="13051"/>
    <cellStyle name="표준 2 10 3 2 3" xfId="4948"/>
    <cellStyle name="표준 2 10 3 2 3 2" xfId="9825"/>
    <cellStyle name="표준 2 10 3 2 3 2 2" xfId="21073"/>
    <cellStyle name="표준 2 10 3 2 3 3" xfId="7387"/>
    <cellStyle name="표준 2 10 3 2 3 3 2" xfId="18635"/>
    <cellStyle name="표준 2 10 3 2 3 4" xfId="16197"/>
    <cellStyle name="표준 2 10 3 2 4" xfId="8835"/>
    <cellStyle name="표준 2 10 3 2 4 2" xfId="20083"/>
    <cellStyle name="표준 2 10 3 2 5" xfId="6397"/>
    <cellStyle name="표준 2 10 3 2 5 2" xfId="17645"/>
    <cellStyle name="표준 2 10 3 2 6" xfId="3956"/>
    <cellStyle name="표준 2 10 3 2 6 2" xfId="15207"/>
    <cellStyle name="표준 2 10 3 2 7" xfId="2205"/>
    <cellStyle name="표준 2 10 3 2 7 2" xfId="13632"/>
    <cellStyle name="표준 2 10 3 2 8" xfId="12172"/>
    <cellStyle name="표준 2 10 3 3" xfId="738"/>
    <cellStyle name="표준 2 10 3 3 2" xfId="5174"/>
    <cellStyle name="표준 2 10 3 3 2 2" xfId="10051"/>
    <cellStyle name="표준 2 10 3 3 2 2 2" xfId="21299"/>
    <cellStyle name="표준 2 10 3 3 2 3" xfId="7613"/>
    <cellStyle name="표준 2 10 3 3 2 3 2" xfId="18861"/>
    <cellStyle name="표준 2 10 3 3 2 4" xfId="16423"/>
    <cellStyle name="표준 2 10 3 3 3" xfId="9061"/>
    <cellStyle name="표준 2 10 3 3 3 2" xfId="20309"/>
    <cellStyle name="표준 2 10 3 3 4" xfId="6623"/>
    <cellStyle name="표준 2 10 3 3 4 2" xfId="17871"/>
    <cellStyle name="표준 2 10 3 3 5" xfId="4182"/>
    <cellStyle name="표준 2 10 3 3 5 2" xfId="15433"/>
    <cellStyle name="표준 2 10 3 3 6" xfId="2369"/>
    <cellStyle name="표준 2 10 3 3 6 2" xfId="13772"/>
    <cellStyle name="표준 2 10 3 3 7" xfId="12312"/>
    <cellStyle name="표준 2 10 3 4" xfId="1236"/>
    <cellStyle name="표준 2 10 3 4 2" xfId="9599"/>
    <cellStyle name="표준 2 10 3 4 2 2" xfId="20847"/>
    <cellStyle name="표준 2 10 3 4 3" xfId="7161"/>
    <cellStyle name="표준 2 10 3 4 3 2" xfId="18409"/>
    <cellStyle name="표준 2 10 3 4 4" xfId="4722"/>
    <cellStyle name="표준 2 10 3 4 4 2" xfId="15971"/>
    <cellStyle name="표준 2 10 3 4 5" xfId="2857"/>
    <cellStyle name="표준 2 10 3 4 5 2" xfId="14135"/>
    <cellStyle name="표준 2 10 3 4 6" xfId="12675"/>
    <cellStyle name="표준 2 10 3 5" xfId="8609"/>
    <cellStyle name="표준 2 10 3 5 2" xfId="19857"/>
    <cellStyle name="표준 2 10 3 6" xfId="6171"/>
    <cellStyle name="표준 2 10 3 6 2" xfId="17419"/>
    <cellStyle name="표준 2 10 3 7" xfId="10924"/>
    <cellStyle name="표준 2 10 3 7 2" xfId="22171"/>
    <cellStyle name="표준 2 10 3 8" xfId="3730"/>
    <cellStyle name="표준 2 10 3 8 2" xfId="14981"/>
    <cellStyle name="표준 2 10 3 9" xfId="1921"/>
    <cellStyle name="표준 2 10 3 9 2" xfId="13348"/>
    <cellStyle name="표준 2 10 4" xfId="423"/>
    <cellStyle name="표준 2 10 4 2" xfId="1521"/>
    <cellStyle name="표준 2 10 4 2 2" xfId="10374"/>
    <cellStyle name="표준 2 10 4 2 2 2" xfId="21622"/>
    <cellStyle name="표준 2 10 4 2 3" xfId="7936"/>
    <cellStyle name="표준 2 10 4 2 3 2" xfId="19184"/>
    <cellStyle name="표준 2 10 4 2 4" xfId="5497"/>
    <cellStyle name="표준 2 10 4 2 4 2" xfId="16746"/>
    <cellStyle name="표준 2 10 4 2 5" xfId="3133"/>
    <cellStyle name="표준 2 10 4 2 5 2" xfId="14411"/>
    <cellStyle name="표준 2 10 4 2 6" xfId="12951"/>
    <cellStyle name="표준 2 10 4 3" xfId="1126"/>
    <cellStyle name="표준 2 10 4 3 2" xfId="9384"/>
    <cellStyle name="표준 2 10 4 3 2 2" xfId="20632"/>
    <cellStyle name="표준 2 10 4 3 3" xfId="2747"/>
    <cellStyle name="표준 2 10 4 3 3 2" xfId="14025"/>
    <cellStyle name="표준 2 10 4 3 4" xfId="12565"/>
    <cellStyle name="표준 2 10 4 4" xfId="6946"/>
    <cellStyle name="표준 2 10 4 4 2" xfId="18194"/>
    <cellStyle name="표준 2 10 4 5" xfId="4507"/>
    <cellStyle name="표준 2 10 4 5 2" xfId="15756"/>
    <cellStyle name="표준 2 10 4 6" xfId="2095"/>
    <cellStyle name="표준 2 10 4 6 2" xfId="13522"/>
    <cellStyle name="표준 2 10 4 7" xfId="12062"/>
    <cellStyle name="표준 2 10 5" xfId="344"/>
    <cellStyle name="표준 2 10 5 2" xfId="1695"/>
    <cellStyle name="표준 2 10 5 2 2" xfId="10458"/>
    <cellStyle name="표준 2 10 5 2 2 2" xfId="21706"/>
    <cellStyle name="표준 2 10 5 2 3" xfId="3307"/>
    <cellStyle name="표준 2 10 5 2 3 2" xfId="14585"/>
    <cellStyle name="표준 2 10 5 2 4" xfId="13125"/>
    <cellStyle name="표준 2 10 5 3" xfId="1313"/>
    <cellStyle name="표준 2 10 5 3 2" xfId="8020"/>
    <cellStyle name="표준 2 10 5 3 2 2" xfId="19268"/>
    <cellStyle name="표준 2 10 5 3 3" xfId="2934"/>
    <cellStyle name="표준 2 10 5 3 3 2" xfId="14212"/>
    <cellStyle name="표준 2 10 5 3 4" xfId="12752"/>
    <cellStyle name="표준 2 10 5 4" xfId="5581"/>
    <cellStyle name="표준 2 10 5 4 2" xfId="16830"/>
    <cellStyle name="표준 2 10 5 5" xfId="2016"/>
    <cellStyle name="표준 2 10 5 5 2" xfId="13443"/>
    <cellStyle name="표준 2 10 5 6" xfId="11983"/>
    <cellStyle name="표준 2 10 6" xfId="607"/>
    <cellStyle name="표준 2 10 6 2" xfId="1402"/>
    <cellStyle name="표준 2 10 6 2 2" xfId="10539"/>
    <cellStyle name="표준 2 10 6 2 2 2" xfId="21787"/>
    <cellStyle name="표준 2 10 6 2 3" xfId="3017"/>
    <cellStyle name="표준 2 10 6 2 3 2" xfId="14295"/>
    <cellStyle name="표준 2 10 6 2 4" xfId="12835"/>
    <cellStyle name="표준 2 10 6 3" xfId="8101"/>
    <cellStyle name="표준 2 10 6 3 2" xfId="19349"/>
    <cellStyle name="표준 2 10 6 4" xfId="5662"/>
    <cellStyle name="표준 2 10 6 4 2" xfId="16911"/>
    <cellStyle name="표준 2 10 6 5" xfId="2279"/>
    <cellStyle name="표준 2 10 6 5 2" xfId="13698"/>
    <cellStyle name="표준 2 10 6 6" xfId="12238"/>
    <cellStyle name="표준 2 10 7" xfId="1047"/>
    <cellStyle name="표준 2 10 7 2" xfId="10564"/>
    <cellStyle name="표준 2 10 7 2 2" xfId="21812"/>
    <cellStyle name="표준 2 10 7 3" xfId="8126"/>
    <cellStyle name="표준 2 10 7 3 2" xfId="19374"/>
    <cellStyle name="표준 2 10 7 4" xfId="5687"/>
    <cellStyle name="표준 2 10 7 4 2" xfId="16936"/>
    <cellStyle name="표준 2 10 7 5" xfId="2668"/>
    <cellStyle name="표준 2 10 7 5 2" xfId="13946"/>
    <cellStyle name="표준 2 10 7 6" xfId="12486"/>
    <cellStyle name="표준 2 10 8" xfId="953"/>
    <cellStyle name="표준 2 10 8 2" xfId="5770"/>
    <cellStyle name="표준 2 10 8 2 2" xfId="10647"/>
    <cellStyle name="표준 2 10 8 2 2 2" xfId="21895"/>
    <cellStyle name="표준 2 10 8 2 3" xfId="8209"/>
    <cellStyle name="표준 2 10 8 2 3 2" xfId="19457"/>
    <cellStyle name="표준 2 10 8 2 4" xfId="17019"/>
    <cellStyle name="표준 2 10 8 3" xfId="3664"/>
    <cellStyle name="표준 2 10 8 4" xfId="2575"/>
    <cellStyle name="표준 2 10 8 4 2" xfId="13853"/>
    <cellStyle name="표준 2 10 8 5" xfId="12393"/>
    <cellStyle name="표준 2 10 9" xfId="3573"/>
    <cellStyle name="표준 2 10 9 2" xfId="8472"/>
    <cellStyle name="표준 2 10 9 2 2" xfId="19720"/>
    <cellStyle name="표준 2 10 9 3" xfId="6034"/>
    <cellStyle name="표준 2 10 9 3 2" xfId="17282"/>
    <cellStyle name="표준 2 10 9 4" xfId="14844"/>
    <cellStyle name="표준 2 11" xfId="167"/>
    <cellStyle name="표준 2 11 10" xfId="5688"/>
    <cellStyle name="표준 2 11 10 2" xfId="10565"/>
    <cellStyle name="표준 2 11 10 2 2" xfId="21813"/>
    <cellStyle name="표준 2 11 10 3" xfId="8127"/>
    <cellStyle name="표준 2 11 10 3 2" xfId="19375"/>
    <cellStyle name="표준 2 11 10 4" xfId="16937"/>
    <cellStyle name="표준 2 11 11" xfId="5771"/>
    <cellStyle name="표준 2 11 11 2" xfId="10648"/>
    <cellStyle name="표준 2 11 11 2 2" xfId="21896"/>
    <cellStyle name="표준 2 11 11 3" xfId="8210"/>
    <cellStyle name="표준 2 11 11 3 2" xfId="19458"/>
    <cellStyle name="표준 2 11 11 4" xfId="17020"/>
    <cellStyle name="표준 2 11 12" xfId="3574"/>
    <cellStyle name="표준 2 11 12 2" xfId="8473"/>
    <cellStyle name="표준 2 11 12 2 2" xfId="19721"/>
    <cellStyle name="표준 2 11 12 3" xfId="6035"/>
    <cellStyle name="표준 2 11 12 3 2" xfId="17283"/>
    <cellStyle name="표준 2 11 12 4" xfId="14845"/>
    <cellStyle name="표준 2 11 13" xfId="8294"/>
    <cellStyle name="표준 2 11 13 2" xfId="19542"/>
    <cellStyle name="표준 2 11 14" xfId="5856"/>
    <cellStyle name="표준 2 11 14 2" xfId="17104"/>
    <cellStyle name="표준 2 11 15" xfId="10740"/>
    <cellStyle name="표준 2 11 15 2" xfId="21988"/>
    <cellStyle name="표준 2 11 16" xfId="3388"/>
    <cellStyle name="표준 2 11 16 2" xfId="14666"/>
    <cellStyle name="표준 2 11 17" xfId="1841"/>
    <cellStyle name="표준 2 11 17 2" xfId="13268"/>
    <cellStyle name="표준 2 11 18" xfId="11808"/>
    <cellStyle name="표준 2 11 2" xfId="279"/>
    <cellStyle name="표준 2 11 2 10" xfId="10823"/>
    <cellStyle name="표준 2 11 2 10 2" xfId="22071"/>
    <cellStyle name="표준 2 11 2 11" xfId="3477"/>
    <cellStyle name="표준 2 11 2 11 2" xfId="14749"/>
    <cellStyle name="표준 2 11 2 12" xfId="1951"/>
    <cellStyle name="표준 2 11 2 12 2" xfId="13378"/>
    <cellStyle name="표준 2 11 2 13" xfId="11918"/>
    <cellStyle name="표준 2 11 2 2" xfId="563"/>
    <cellStyle name="표준 2 11 2 2 2" xfId="1651"/>
    <cellStyle name="표준 2 11 2 2 2 2" xfId="5479"/>
    <cellStyle name="표준 2 11 2 2 2 2 2" xfId="10356"/>
    <cellStyle name="표준 2 11 2 2 2 2 2 2" xfId="21604"/>
    <cellStyle name="표준 2 11 2 2 2 2 3" xfId="7918"/>
    <cellStyle name="표준 2 11 2 2 2 2 3 2" xfId="19166"/>
    <cellStyle name="표준 2 11 2 2 2 2 4" xfId="16728"/>
    <cellStyle name="표준 2 11 2 2 2 3" xfId="9366"/>
    <cellStyle name="표준 2 11 2 2 2 3 2" xfId="20614"/>
    <cellStyle name="표준 2 11 2 2 2 4" xfId="6928"/>
    <cellStyle name="표준 2 11 2 2 2 4 2" xfId="18176"/>
    <cellStyle name="표준 2 11 2 2 2 5" xfId="4487"/>
    <cellStyle name="표준 2 11 2 2 2 5 2" xfId="15738"/>
    <cellStyle name="표준 2 11 2 2 2 6" xfId="3263"/>
    <cellStyle name="표준 2 11 2 2 2 6 2" xfId="14541"/>
    <cellStyle name="표준 2 11 2 2 2 7" xfId="13081"/>
    <cellStyle name="표준 2 11 2 2 3" xfId="4865"/>
    <cellStyle name="표준 2 11 2 2 3 2" xfId="9742"/>
    <cellStyle name="표준 2 11 2 2 3 2 2" xfId="20990"/>
    <cellStyle name="표준 2 11 2 2 3 3" xfId="7304"/>
    <cellStyle name="표준 2 11 2 2 3 3 2" xfId="18552"/>
    <cellStyle name="표준 2 11 2 2 3 4" xfId="16114"/>
    <cellStyle name="표준 2 11 2 2 4" xfId="8752"/>
    <cellStyle name="표준 2 11 2 2 4 2" xfId="20000"/>
    <cellStyle name="표준 2 11 2 2 5" xfId="6314"/>
    <cellStyle name="표준 2 11 2 2 5 2" xfId="17562"/>
    <cellStyle name="표준 2 11 2 2 6" xfId="11008"/>
    <cellStyle name="표준 2 11 2 2 6 2" xfId="22255"/>
    <cellStyle name="표준 2 11 2 2 7" xfId="3873"/>
    <cellStyle name="표준 2 11 2 2 7 2" xfId="15124"/>
    <cellStyle name="표준 2 11 2 2 8" xfId="2235"/>
    <cellStyle name="표준 2 11 2 2 8 2" xfId="13662"/>
    <cellStyle name="표준 2 11 2 2 9" xfId="12202"/>
    <cellStyle name="표준 2 11 2 3" xfId="751"/>
    <cellStyle name="표준 2 11 2 3 2" xfId="5318"/>
    <cellStyle name="표준 2 11 2 3 2 2" xfId="10195"/>
    <cellStyle name="표준 2 11 2 3 2 2 2" xfId="21443"/>
    <cellStyle name="표준 2 11 2 3 2 3" xfId="7757"/>
    <cellStyle name="표준 2 11 2 3 2 3 2" xfId="19005"/>
    <cellStyle name="표준 2 11 2 3 2 4" xfId="16567"/>
    <cellStyle name="표준 2 11 2 3 3" xfId="9205"/>
    <cellStyle name="표준 2 11 2 3 3 2" xfId="20453"/>
    <cellStyle name="표준 2 11 2 3 4" xfId="6767"/>
    <cellStyle name="표준 2 11 2 3 4 2" xfId="18015"/>
    <cellStyle name="표준 2 11 2 3 5" xfId="4326"/>
    <cellStyle name="표준 2 11 2 3 5 2" xfId="15577"/>
    <cellStyle name="표준 2 11 2 3 6" xfId="2378"/>
    <cellStyle name="표준 2 11 2 3 6 2" xfId="13773"/>
    <cellStyle name="표준 2 11 2 3 7" xfId="12313"/>
    <cellStyle name="표준 2 11 2 4" xfId="1266"/>
    <cellStyle name="표준 2 11 2 4 2" xfId="5091"/>
    <cellStyle name="표준 2 11 2 4 2 2" xfId="9968"/>
    <cellStyle name="표준 2 11 2 4 2 2 2" xfId="21216"/>
    <cellStyle name="표준 2 11 2 4 2 3" xfId="7530"/>
    <cellStyle name="표준 2 11 2 4 2 3 2" xfId="18778"/>
    <cellStyle name="표준 2 11 2 4 2 4" xfId="16340"/>
    <cellStyle name="표준 2 11 2 4 3" xfId="8978"/>
    <cellStyle name="표준 2 11 2 4 3 2" xfId="20226"/>
    <cellStyle name="표준 2 11 2 4 4" xfId="6540"/>
    <cellStyle name="표준 2 11 2 4 4 2" xfId="17788"/>
    <cellStyle name="표준 2 11 2 4 5" xfId="4099"/>
    <cellStyle name="표준 2 11 2 4 5 2" xfId="15350"/>
    <cellStyle name="표준 2 11 2 4 6" xfId="2887"/>
    <cellStyle name="표준 2 11 2 4 6 2" xfId="14165"/>
    <cellStyle name="표준 2 11 2 4 7" xfId="12705"/>
    <cellStyle name="표준 2 11 2 5" xfId="4639"/>
    <cellStyle name="표준 2 11 2 5 2" xfId="9516"/>
    <cellStyle name="표준 2 11 2 5 2 2" xfId="20764"/>
    <cellStyle name="표준 2 11 2 5 3" xfId="7078"/>
    <cellStyle name="표준 2 11 2 5 3 2" xfId="18326"/>
    <cellStyle name="표준 2 11 2 5 4" xfId="15888"/>
    <cellStyle name="표준 2 11 2 6" xfId="5673"/>
    <cellStyle name="표준 2 11 2 6 2" xfId="10550"/>
    <cellStyle name="표준 2 11 2 6 2 2" xfId="21798"/>
    <cellStyle name="표준 2 11 2 6 3" xfId="8112"/>
    <cellStyle name="표준 2 11 2 6 3 2" xfId="19360"/>
    <cellStyle name="표준 2 11 2 6 4" xfId="16922"/>
    <cellStyle name="표준 2 11 2 7" xfId="3679"/>
    <cellStyle name="표준 2 11 2 7 2" xfId="8558"/>
    <cellStyle name="표준 2 11 2 7 2 2" xfId="19806"/>
    <cellStyle name="표준 2 11 2 7 3" xfId="6120"/>
    <cellStyle name="표준 2 11 2 7 3 2" xfId="17368"/>
    <cellStyle name="표준 2 11 2 7 4" xfId="14930"/>
    <cellStyle name="표준 2 11 2 8" xfId="8377"/>
    <cellStyle name="표준 2 11 2 8 2" xfId="19625"/>
    <cellStyle name="표준 2 11 2 9" xfId="5939"/>
    <cellStyle name="표준 2 11 2 9 2" xfId="17187"/>
    <cellStyle name="표준 2 11 3" xfId="453"/>
    <cellStyle name="표준 2 11 3 10" xfId="12092"/>
    <cellStyle name="표준 2 11 3 2" xfId="1546"/>
    <cellStyle name="표준 2 11 3 2 2" xfId="4412"/>
    <cellStyle name="표준 2 11 3 2 2 2" xfId="5404"/>
    <cellStyle name="표준 2 11 3 2 2 2 2" xfId="10281"/>
    <cellStyle name="표준 2 11 3 2 2 2 2 2" xfId="21529"/>
    <cellStyle name="표준 2 11 3 2 2 2 3" xfId="7843"/>
    <cellStyle name="표준 2 11 3 2 2 2 3 2" xfId="19091"/>
    <cellStyle name="표준 2 11 3 2 2 2 4" xfId="16653"/>
    <cellStyle name="표준 2 11 3 2 2 3" xfId="9291"/>
    <cellStyle name="표준 2 11 3 2 2 3 2" xfId="20539"/>
    <cellStyle name="표준 2 11 3 2 2 4" xfId="6853"/>
    <cellStyle name="표준 2 11 3 2 2 4 2" xfId="18101"/>
    <cellStyle name="표준 2 11 3 2 2 5" xfId="15663"/>
    <cellStyle name="표준 2 11 3 2 3" xfId="4951"/>
    <cellStyle name="표준 2 11 3 2 3 2" xfId="9828"/>
    <cellStyle name="표준 2 11 3 2 3 2 2" xfId="21076"/>
    <cellStyle name="표준 2 11 3 2 3 3" xfId="7390"/>
    <cellStyle name="표준 2 11 3 2 3 3 2" xfId="18638"/>
    <cellStyle name="표준 2 11 3 2 3 4" xfId="16200"/>
    <cellStyle name="표준 2 11 3 2 4" xfId="8838"/>
    <cellStyle name="표준 2 11 3 2 4 2" xfId="20086"/>
    <cellStyle name="표준 2 11 3 2 5" xfId="6400"/>
    <cellStyle name="표준 2 11 3 2 5 2" xfId="17648"/>
    <cellStyle name="표준 2 11 3 2 6" xfId="3959"/>
    <cellStyle name="표준 2 11 3 2 6 2" xfId="15210"/>
    <cellStyle name="표준 2 11 3 2 7" xfId="3158"/>
    <cellStyle name="표준 2 11 3 2 7 2" xfId="14436"/>
    <cellStyle name="표준 2 11 3 2 8" xfId="12976"/>
    <cellStyle name="표준 2 11 3 3" xfId="1156"/>
    <cellStyle name="표준 2 11 3 3 2" xfId="5177"/>
    <cellStyle name="표준 2 11 3 3 2 2" xfId="10054"/>
    <cellStyle name="표준 2 11 3 3 2 2 2" xfId="21302"/>
    <cellStyle name="표준 2 11 3 3 2 3" xfId="7616"/>
    <cellStyle name="표준 2 11 3 3 2 3 2" xfId="18864"/>
    <cellStyle name="표준 2 11 3 3 2 4" xfId="16426"/>
    <cellStyle name="표준 2 11 3 3 3" xfId="9064"/>
    <cellStyle name="표준 2 11 3 3 3 2" xfId="20312"/>
    <cellStyle name="표준 2 11 3 3 4" xfId="6626"/>
    <cellStyle name="표준 2 11 3 3 4 2" xfId="17874"/>
    <cellStyle name="표준 2 11 3 3 5" xfId="4185"/>
    <cellStyle name="표준 2 11 3 3 5 2" xfId="15436"/>
    <cellStyle name="표준 2 11 3 3 6" xfId="2777"/>
    <cellStyle name="표준 2 11 3 3 6 2" xfId="14055"/>
    <cellStyle name="표준 2 11 3 3 7" xfId="12595"/>
    <cellStyle name="표준 2 11 3 4" xfId="4725"/>
    <cellStyle name="표준 2 11 3 4 2" xfId="9602"/>
    <cellStyle name="표준 2 11 3 4 2 2" xfId="20850"/>
    <cellStyle name="표준 2 11 3 4 3" xfId="7164"/>
    <cellStyle name="표준 2 11 3 4 3 2" xfId="18412"/>
    <cellStyle name="표준 2 11 3 4 4" xfId="15974"/>
    <cellStyle name="표준 2 11 3 5" xfId="8612"/>
    <cellStyle name="표준 2 11 3 5 2" xfId="19860"/>
    <cellStyle name="표준 2 11 3 6" xfId="6174"/>
    <cellStyle name="표준 2 11 3 6 2" xfId="17422"/>
    <cellStyle name="표준 2 11 3 7" xfId="10925"/>
    <cellStyle name="표준 2 11 3 7 2" xfId="22172"/>
    <cellStyle name="표준 2 11 3 8" xfId="3733"/>
    <cellStyle name="표준 2 11 3 8 2" xfId="14984"/>
    <cellStyle name="표준 2 11 3 9" xfId="2125"/>
    <cellStyle name="표준 2 11 3 9 2" xfId="13552"/>
    <cellStyle name="표준 2 11 4" xfId="343"/>
    <cellStyle name="표준 2 11 4 2" xfId="1696"/>
    <cellStyle name="표준 2 11 4 2 2" xfId="5279"/>
    <cellStyle name="표준 2 11 4 2 2 2" xfId="10156"/>
    <cellStyle name="표준 2 11 4 2 2 2 2" xfId="21404"/>
    <cellStyle name="표준 2 11 4 2 2 3" xfId="7718"/>
    <cellStyle name="표준 2 11 4 2 2 3 2" xfId="18966"/>
    <cellStyle name="표준 2 11 4 2 2 4" xfId="16528"/>
    <cellStyle name="표준 2 11 4 2 3" xfId="9166"/>
    <cellStyle name="표준 2 11 4 2 3 2" xfId="20414"/>
    <cellStyle name="표준 2 11 4 2 4" xfId="6728"/>
    <cellStyle name="표준 2 11 4 2 4 2" xfId="17976"/>
    <cellStyle name="표준 2 11 4 2 5" xfId="4287"/>
    <cellStyle name="표준 2 11 4 2 5 2" xfId="15538"/>
    <cellStyle name="표준 2 11 4 2 6" xfId="3308"/>
    <cellStyle name="표준 2 11 4 2 6 2" xfId="14586"/>
    <cellStyle name="표준 2 11 4 2 7" xfId="13126"/>
    <cellStyle name="표준 2 11 4 3" xfId="1314"/>
    <cellStyle name="표준 2 11 4 3 2" xfId="9703"/>
    <cellStyle name="표준 2 11 4 3 2 2" xfId="20951"/>
    <cellStyle name="표준 2 11 4 3 3" xfId="7265"/>
    <cellStyle name="표준 2 11 4 3 3 2" xfId="18513"/>
    <cellStyle name="표준 2 11 4 3 4" xfId="4826"/>
    <cellStyle name="표준 2 11 4 3 4 2" xfId="16075"/>
    <cellStyle name="표준 2 11 4 3 5" xfId="2935"/>
    <cellStyle name="표준 2 11 4 3 5 2" xfId="14213"/>
    <cellStyle name="표준 2 11 4 3 6" xfId="12753"/>
    <cellStyle name="표준 2 11 4 4" xfId="8713"/>
    <cellStyle name="표준 2 11 4 4 2" xfId="19961"/>
    <cellStyle name="표준 2 11 4 5" xfId="6275"/>
    <cellStyle name="표준 2 11 4 5 2" xfId="17523"/>
    <cellStyle name="표준 2 11 4 6" xfId="3834"/>
    <cellStyle name="표준 2 11 4 6 2" xfId="15085"/>
    <cellStyle name="표준 2 11 4 7" xfId="2015"/>
    <cellStyle name="표준 2 11 4 7 2" xfId="13442"/>
    <cellStyle name="표준 2 11 4 8" xfId="11982"/>
    <cellStyle name="표준 2 11 5" xfId="684"/>
    <cellStyle name="표준 2 11 5 2" xfId="1404"/>
    <cellStyle name="표준 2 11 5 2 2" xfId="9929"/>
    <cellStyle name="표준 2 11 5 2 2 2" xfId="21177"/>
    <cellStyle name="표준 2 11 5 2 3" xfId="7491"/>
    <cellStyle name="표준 2 11 5 2 3 2" xfId="18739"/>
    <cellStyle name="표준 2 11 5 2 4" xfId="5052"/>
    <cellStyle name="표준 2 11 5 2 4 2" xfId="16301"/>
    <cellStyle name="표준 2 11 5 2 5" xfId="3018"/>
    <cellStyle name="표준 2 11 5 2 5 2" xfId="14296"/>
    <cellStyle name="표준 2 11 5 2 6" xfId="12836"/>
    <cellStyle name="표준 2 11 5 3" xfId="8939"/>
    <cellStyle name="표준 2 11 5 3 2" xfId="20187"/>
    <cellStyle name="표준 2 11 5 4" xfId="6501"/>
    <cellStyle name="표준 2 11 5 4 2" xfId="17749"/>
    <cellStyle name="표준 2 11 5 5" xfId="4060"/>
    <cellStyle name="표준 2 11 5 5 2" xfId="15311"/>
    <cellStyle name="표준 2 11 5 6" xfId="2316"/>
    <cellStyle name="표준 2 11 5 6 2" xfId="13729"/>
    <cellStyle name="표준 2 11 5 7" xfId="12269"/>
    <cellStyle name="표준 2 11 6" xfId="1046"/>
    <cellStyle name="표준 2 11 6 2" xfId="5498"/>
    <cellStyle name="표준 2 11 6 2 2" xfId="10375"/>
    <cellStyle name="표준 2 11 6 2 2 2" xfId="21623"/>
    <cellStyle name="표준 2 11 6 2 3" xfId="7937"/>
    <cellStyle name="표준 2 11 6 2 3 2" xfId="19185"/>
    <cellStyle name="표준 2 11 6 2 4" xfId="16747"/>
    <cellStyle name="표준 2 11 6 3" xfId="9385"/>
    <cellStyle name="표준 2 11 6 3 2" xfId="20633"/>
    <cellStyle name="표준 2 11 6 4" xfId="6947"/>
    <cellStyle name="표준 2 11 6 4 2" xfId="18195"/>
    <cellStyle name="표준 2 11 6 5" xfId="4508"/>
    <cellStyle name="표준 2 11 6 5 2" xfId="15757"/>
    <cellStyle name="표준 2 11 6 6" xfId="2667"/>
    <cellStyle name="표준 2 11 6 6 2" xfId="13945"/>
    <cellStyle name="표준 2 11 6 7" xfId="12485"/>
    <cellStyle name="표준 2 11 7" xfId="983"/>
    <cellStyle name="표준 2 11 7 2" xfId="9477"/>
    <cellStyle name="표준 2 11 7 2 2" xfId="20725"/>
    <cellStyle name="표준 2 11 7 3" xfId="7039"/>
    <cellStyle name="표준 2 11 7 3 2" xfId="18287"/>
    <cellStyle name="표준 2 11 7 4" xfId="4600"/>
    <cellStyle name="표준 2 11 7 4 2" xfId="15849"/>
    <cellStyle name="표준 2 11 7 5" xfId="2604"/>
    <cellStyle name="표준 2 11 7 5 2" xfId="13882"/>
    <cellStyle name="표준 2 11 7 6" xfId="12422"/>
    <cellStyle name="표준 2 11 8" xfId="5582"/>
    <cellStyle name="표준 2 11 8 2" xfId="10459"/>
    <cellStyle name="표준 2 11 8 2 2" xfId="21707"/>
    <cellStyle name="표준 2 11 8 3" xfId="8021"/>
    <cellStyle name="표준 2 11 8 3 2" xfId="19269"/>
    <cellStyle name="표준 2 11 8 4" xfId="16831"/>
    <cellStyle name="표준 2 11 9" xfId="5671"/>
    <cellStyle name="표준 2 11 9 2" xfId="10548"/>
    <cellStyle name="표준 2 11 9 2 2" xfId="21796"/>
    <cellStyle name="표준 2 11 9 3" xfId="8110"/>
    <cellStyle name="표준 2 11 9 3 2" xfId="19358"/>
    <cellStyle name="표준 2 11 9 4" xfId="16920"/>
    <cellStyle name="표준 2 12" xfId="196"/>
    <cellStyle name="표준 2 12 10" xfId="5772"/>
    <cellStyle name="표준 2 12 10 2" xfId="10649"/>
    <cellStyle name="표준 2 12 10 2 2" xfId="21897"/>
    <cellStyle name="표준 2 12 10 3" xfId="8211"/>
    <cellStyle name="표준 2 12 10 3 2" xfId="19459"/>
    <cellStyle name="표준 2 12 10 4" xfId="17021"/>
    <cellStyle name="표준 2 12 11" xfId="3575"/>
    <cellStyle name="표준 2 12 11 2" xfId="8474"/>
    <cellStyle name="표준 2 12 11 2 2" xfId="19722"/>
    <cellStyle name="표준 2 12 11 3" xfId="6036"/>
    <cellStyle name="표준 2 12 11 3 2" xfId="17284"/>
    <cellStyle name="표준 2 12 11 4" xfId="14846"/>
    <cellStyle name="표준 2 12 12" xfId="8295"/>
    <cellStyle name="표준 2 12 12 2" xfId="19543"/>
    <cellStyle name="표준 2 12 13" xfId="5857"/>
    <cellStyle name="표준 2 12 13 2" xfId="17105"/>
    <cellStyle name="표준 2 12 14" xfId="10741"/>
    <cellStyle name="표준 2 12 14 2" xfId="21989"/>
    <cellStyle name="표준 2 12 15" xfId="3389"/>
    <cellStyle name="표준 2 12 15 2" xfId="14667"/>
    <cellStyle name="표준 2 12 16" xfId="1869"/>
    <cellStyle name="표준 2 12 16 2" xfId="13296"/>
    <cellStyle name="표준 2 12 17" xfId="11836"/>
    <cellStyle name="표준 2 12 2" xfId="307"/>
    <cellStyle name="표준 2 12 2 10" xfId="1979"/>
    <cellStyle name="표준 2 12 2 10 2" xfId="13406"/>
    <cellStyle name="표준 2 12 2 11" xfId="11946"/>
    <cellStyle name="표준 2 12 2 2" xfId="591"/>
    <cellStyle name="표준 2 12 2 2 2" xfId="1679"/>
    <cellStyle name="표준 2 12 2 2 2 2" xfId="5319"/>
    <cellStyle name="표준 2 12 2 2 2 2 2" xfId="10196"/>
    <cellStyle name="표준 2 12 2 2 2 2 2 2" xfId="21444"/>
    <cellStyle name="표준 2 12 2 2 2 2 3" xfId="7758"/>
    <cellStyle name="표준 2 12 2 2 2 2 3 2" xfId="19006"/>
    <cellStyle name="표준 2 12 2 2 2 2 4" xfId="16568"/>
    <cellStyle name="표준 2 12 2 2 2 3" xfId="9206"/>
    <cellStyle name="표준 2 12 2 2 2 3 2" xfId="20454"/>
    <cellStyle name="표준 2 12 2 2 2 4" xfId="6768"/>
    <cellStyle name="표준 2 12 2 2 2 4 2" xfId="18016"/>
    <cellStyle name="표준 2 12 2 2 2 5" xfId="4327"/>
    <cellStyle name="표준 2 12 2 2 2 5 2" xfId="15578"/>
    <cellStyle name="표준 2 12 2 2 2 6" xfId="3291"/>
    <cellStyle name="표준 2 12 2 2 2 6 2" xfId="14569"/>
    <cellStyle name="표준 2 12 2 2 2 7" xfId="13109"/>
    <cellStyle name="표준 2 12 2 2 3" xfId="4866"/>
    <cellStyle name="표준 2 12 2 2 3 2" xfId="9743"/>
    <cellStyle name="표준 2 12 2 2 3 2 2" xfId="20991"/>
    <cellStyle name="표준 2 12 2 2 3 3" xfId="7305"/>
    <cellStyle name="표준 2 12 2 2 3 3 2" xfId="18553"/>
    <cellStyle name="표준 2 12 2 2 3 4" xfId="16115"/>
    <cellStyle name="표준 2 12 2 2 4" xfId="8753"/>
    <cellStyle name="표준 2 12 2 2 4 2" xfId="20001"/>
    <cellStyle name="표준 2 12 2 2 5" xfId="6315"/>
    <cellStyle name="표준 2 12 2 2 5 2" xfId="17563"/>
    <cellStyle name="표준 2 12 2 2 6" xfId="11009"/>
    <cellStyle name="표준 2 12 2 2 6 2" xfId="22256"/>
    <cellStyle name="표준 2 12 2 2 7" xfId="3874"/>
    <cellStyle name="표준 2 12 2 2 7 2" xfId="15125"/>
    <cellStyle name="표준 2 12 2 2 8" xfId="2263"/>
    <cellStyle name="표준 2 12 2 2 8 2" xfId="13690"/>
    <cellStyle name="표준 2 12 2 2 9" xfId="12230"/>
    <cellStyle name="표준 2 12 2 3" xfId="1294"/>
    <cellStyle name="표준 2 12 2 3 2" xfId="5092"/>
    <cellStyle name="표준 2 12 2 3 2 2" xfId="9969"/>
    <cellStyle name="표준 2 12 2 3 2 2 2" xfId="21217"/>
    <cellStyle name="표준 2 12 2 3 2 3" xfId="7531"/>
    <cellStyle name="표준 2 12 2 3 2 3 2" xfId="18779"/>
    <cellStyle name="표준 2 12 2 3 2 4" xfId="16341"/>
    <cellStyle name="표준 2 12 2 3 3" xfId="8979"/>
    <cellStyle name="표준 2 12 2 3 3 2" xfId="20227"/>
    <cellStyle name="표준 2 12 2 3 4" xfId="6541"/>
    <cellStyle name="표준 2 12 2 3 4 2" xfId="17789"/>
    <cellStyle name="표준 2 12 2 3 5" xfId="4100"/>
    <cellStyle name="표준 2 12 2 3 5 2" xfId="15351"/>
    <cellStyle name="표준 2 12 2 3 6" xfId="2915"/>
    <cellStyle name="표준 2 12 2 3 6 2" xfId="14193"/>
    <cellStyle name="표준 2 12 2 3 7" xfId="12733"/>
    <cellStyle name="표준 2 12 2 4" xfId="4640"/>
    <cellStyle name="표준 2 12 2 4 2" xfId="9517"/>
    <cellStyle name="표준 2 12 2 4 2 2" xfId="20765"/>
    <cellStyle name="표준 2 12 2 4 3" xfId="7079"/>
    <cellStyle name="표준 2 12 2 4 3 2" xfId="18327"/>
    <cellStyle name="표준 2 12 2 4 4" xfId="15889"/>
    <cellStyle name="표준 2 12 2 5" xfId="3680"/>
    <cellStyle name="표준 2 12 2 5 2" xfId="8559"/>
    <cellStyle name="표준 2 12 2 5 2 2" xfId="19807"/>
    <cellStyle name="표준 2 12 2 5 3" xfId="6121"/>
    <cellStyle name="표준 2 12 2 5 3 2" xfId="17369"/>
    <cellStyle name="표준 2 12 2 5 4" xfId="14931"/>
    <cellStyle name="표준 2 12 2 6" xfId="8378"/>
    <cellStyle name="표준 2 12 2 6 2" xfId="19626"/>
    <cellStyle name="표준 2 12 2 7" xfId="5940"/>
    <cellStyle name="표준 2 12 2 7 2" xfId="17188"/>
    <cellStyle name="표준 2 12 2 8" xfId="10824"/>
    <cellStyle name="표준 2 12 2 8 2" xfId="22072"/>
    <cellStyle name="표준 2 12 2 9" xfId="3478"/>
    <cellStyle name="표준 2 12 2 9 2" xfId="14750"/>
    <cellStyle name="표준 2 12 3" xfId="481"/>
    <cellStyle name="표준 2 12 3 10" xfId="12120"/>
    <cellStyle name="표준 2 12 3 2" xfId="1574"/>
    <cellStyle name="표준 2 12 3 2 2" xfId="4413"/>
    <cellStyle name="표준 2 12 3 2 2 2" xfId="5405"/>
    <cellStyle name="표준 2 12 3 2 2 2 2" xfId="10282"/>
    <cellStyle name="표준 2 12 3 2 2 2 2 2" xfId="21530"/>
    <cellStyle name="표준 2 12 3 2 2 2 3" xfId="7844"/>
    <cellStyle name="표준 2 12 3 2 2 2 3 2" xfId="19092"/>
    <cellStyle name="표준 2 12 3 2 2 2 4" xfId="16654"/>
    <cellStyle name="표준 2 12 3 2 2 3" xfId="9292"/>
    <cellStyle name="표준 2 12 3 2 2 3 2" xfId="20540"/>
    <cellStyle name="표준 2 12 3 2 2 4" xfId="6854"/>
    <cellStyle name="표준 2 12 3 2 2 4 2" xfId="18102"/>
    <cellStyle name="표준 2 12 3 2 2 5" xfId="15664"/>
    <cellStyle name="표준 2 12 3 2 3" xfId="4952"/>
    <cellStyle name="표준 2 12 3 2 3 2" xfId="9829"/>
    <cellStyle name="표준 2 12 3 2 3 2 2" xfId="21077"/>
    <cellStyle name="표준 2 12 3 2 3 3" xfId="7391"/>
    <cellStyle name="표준 2 12 3 2 3 3 2" xfId="18639"/>
    <cellStyle name="표준 2 12 3 2 3 4" xfId="16201"/>
    <cellStyle name="표준 2 12 3 2 4" xfId="8839"/>
    <cellStyle name="표준 2 12 3 2 4 2" xfId="20087"/>
    <cellStyle name="표준 2 12 3 2 5" xfId="6401"/>
    <cellStyle name="표준 2 12 3 2 5 2" xfId="17649"/>
    <cellStyle name="표준 2 12 3 2 6" xfId="3960"/>
    <cellStyle name="표준 2 12 3 2 6 2" xfId="15211"/>
    <cellStyle name="표준 2 12 3 2 7" xfId="3186"/>
    <cellStyle name="표준 2 12 3 2 7 2" xfId="14464"/>
    <cellStyle name="표준 2 12 3 2 8" xfId="13004"/>
    <cellStyle name="표준 2 12 3 3" xfId="1184"/>
    <cellStyle name="표준 2 12 3 3 2" xfId="5178"/>
    <cellStyle name="표준 2 12 3 3 2 2" xfId="10055"/>
    <cellStyle name="표준 2 12 3 3 2 2 2" xfId="21303"/>
    <cellStyle name="표준 2 12 3 3 2 3" xfId="7617"/>
    <cellStyle name="표준 2 12 3 3 2 3 2" xfId="18865"/>
    <cellStyle name="표준 2 12 3 3 2 4" xfId="16427"/>
    <cellStyle name="표준 2 12 3 3 3" xfId="9065"/>
    <cellStyle name="표준 2 12 3 3 3 2" xfId="20313"/>
    <cellStyle name="표준 2 12 3 3 4" xfId="6627"/>
    <cellStyle name="표준 2 12 3 3 4 2" xfId="17875"/>
    <cellStyle name="표준 2 12 3 3 5" xfId="4186"/>
    <cellStyle name="표준 2 12 3 3 5 2" xfId="15437"/>
    <cellStyle name="표준 2 12 3 3 6" xfId="2805"/>
    <cellStyle name="표준 2 12 3 3 6 2" xfId="14083"/>
    <cellStyle name="표준 2 12 3 3 7" xfId="12623"/>
    <cellStyle name="표준 2 12 3 4" xfId="4726"/>
    <cellStyle name="표준 2 12 3 4 2" xfId="9603"/>
    <cellStyle name="표준 2 12 3 4 2 2" xfId="20851"/>
    <cellStyle name="표준 2 12 3 4 3" xfId="7165"/>
    <cellStyle name="표준 2 12 3 4 3 2" xfId="18413"/>
    <cellStyle name="표준 2 12 3 4 4" xfId="15975"/>
    <cellStyle name="표준 2 12 3 5" xfId="8613"/>
    <cellStyle name="표준 2 12 3 5 2" xfId="19861"/>
    <cellStyle name="표준 2 12 3 6" xfId="6175"/>
    <cellStyle name="표준 2 12 3 6 2" xfId="17423"/>
    <cellStyle name="표준 2 12 3 7" xfId="10926"/>
    <cellStyle name="표준 2 12 3 7 2" xfId="22173"/>
    <cellStyle name="표준 2 12 3 8" xfId="3734"/>
    <cellStyle name="표준 2 12 3 8 2" xfId="14985"/>
    <cellStyle name="표준 2 12 3 9" xfId="2153"/>
    <cellStyle name="표준 2 12 3 9 2" xfId="13580"/>
    <cellStyle name="표준 2 12 4" xfId="371"/>
    <cellStyle name="표준 2 12 4 2" xfId="1697"/>
    <cellStyle name="표준 2 12 4 2 2" xfId="5301"/>
    <cellStyle name="표준 2 12 4 2 2 2" xfId="10178"/>
    <cellStyle name="표준 2 12 4 2 2 2 2" xfId="21426"/>
    <cellStyle name="표준 2 12 4 2 2 3" xfId="7740"/>
    <cellStyle name="표준 2 12 4 2 2 3 2" xfId="18988"/>
    <cellStyle name="표준 2 12 4 2 2 4" xfId="16550"/>
    <cellStyle name="표준 2 12 4 2 3" xfId="9188"/>
    <cellStyle name="표준 2 12 4 2 3 2" xfId="20436"/>
    <cellStyle name="표준 2 12 4 2 4" xfId="6750"/>
    <cellStyle name="표준 2 12 4 2 4 2" xfId="17998"/>
    <cellStyle name="표준 2 12 4 2 5" xfId="4309"/>
    <cellStyle name="표준 2 12 4 2 5 2" xfId="15560"/>
    <cellStyle name="표준 2 12 4 2 6" xfId="3309"/>
    <cellStyle name="표준 2 12 4 2 6 2" xfId="14587"/>
    <cellStyle name="표준 2 12 4 2 7" xfId="13127"/>
    <cellStyle name="표준 2 12 4 3" xfId="1315"/>
    <cellStyle name="표준 2 12 4 3 2" xfId="9725"/>
    <cellStyle name="표준 2 12 4 3 2 2" xfId="20973"/>
    <cellStyle name="표준 2 12 4 3 3" xfId="7287"/>
    <cellStyle name="표준 2 12 4 3 3 2" xfId="18535"/>
    <cellStyle name="표준 2 12 4 3 4" xfId="4848"/>
    <cellStyle name="표준 2 12 4 3 4 2" xfId="16097"/>
    <cellStyle name="표준 2 12 4 3 5" xfId="2936"/>
    <cellStyle name="표준 2 12 4 3 5 2" xfId="14214"/>
    <cellStyle name="표준 2 12 4 3 6" xfId="12754"/>
    <cellStyle name="표준 2 12 4 4" xfId="8735"/>
    <cellStyle name="표준 2 12 4 4 2" xfId="19983"/>
    <cellStyle name="표준 2 12 4 5" xfId="6297"/>
    <cellStyle name="표준 2 12 4 5 2" xfId="17545"/>
    <cellStyle name="표준 2 12 4 6" xfId="3856"/>
    <cellStyle name="표준 2 12 4 6 2" xfId="15107"/>
    <cellStyle name="표준 2 12 4 7" xfId="2043"/>
    <cellStyle name="표준 2 12 4 7 2" xfId="13470"/>
    <cellStyle name="표준 2 12 4 8" xfId="12010"/>
    <cellStyle name="표준 2 12 5" xfId="752"/>
    <cellStyle name="표준 2 12 5 2" xfId="1405"/>
    <cellStyle name="표준 2 12 5 2 2" xfId="9951"/>
    <cellStyle name="표준 2 12 5 2 2 2" xfId="21199"/>
    <cellStyle name="표준 2 12 5 2 3" xfId="7513"/>
    <cellStyle name="표준 2 12 5 2 3 2" xfId="18761"/>
    <cellStyle name="표준 2 12 5 2 4" xfId="5074"/>
    <cellStyle name="표준 2 12 5 2 4 2" xfId="16323"/>
    <cellStyle name="표준 2 12 5 2 5" xfId="3019"/>
    <cellStyle name="표준 2 12 5 2 5 2" xfId="14297"/>
    <cellStyle name="표준 2 12 5 2 6" xfId="12837"/>
    <cellStyle name="표준 2 12 5 3" xfId="8961"/>
    <cellStyle name="표준 2 12 5 3 2" xfId="20209"/>
    <cellStyle name="표준 2 12 5 4" xfId="6523"/>
    <cellStyle name="표준 2 12 5 4 2" xfId="17771"/>
    <cellStyle name="표준 2 12 5 5" xfId="4082"/>
    <cellStyle name="표준 2 12 5 5 2" xfId="15333"/>
    <cellStyle name="표준 2 12 5 6" xfId="2379"/>
    <cellStyle name="표준 2 12 5 6 2" xfId="13774"/>
    <cellStyle name="표준 2 12 5 7" xfId="12314"/>
    <cellStyle name="표준 2 12 6" xfId="1074"/>
    <cellStyle name="표준 2 12 6 2" xfId="5499"/>
    <cellStyle name="표준 2 12 6 2 2" xfId="10376"/>
    <cellStyle name="표준 2 12 6 2 2 2" xfId="21624"/>
    <cellStyle name="표준 2 12 6 2 3" xfId="7938"/>
    <cellStyle name="표준 2 12 6 2 3 2" xfId="19186"/>
    <cellStyle name="표준 2 12 6 2 4" xfId="16748"/>
    <cellStyle name="표준 2 12 6 3" xfId="9386"/>
    <cellStyle name="표준 2 12 6 3 2" xfId="20634"/>
    <cellStyle name="표준 2 12 6 4" xfId="6948"/>
    <cellStyle name="표준 2 12 6 4 2" xfId="18196"/>
    <cellStyle name="표준 2 12 6 5" xfId="4509"/>
    <cellStyle name="표준 2 12 6 5 2" xfId="15758"/>
    <cellStyle name="표준 2 12 6 6" xfId="2695"/>
    <cellStyle name="표준 2 12 6 6 2" xfId="13973"/>
    <cellStyle name="표준 2 12 6 7" xfId="12513"/>
    <cellStyle name="표준 2 12 7" xfId="1010"/>
    <cellStyle name="표준 2 12 7 2" xfId="9499"/>
    <cellStyle name="표준 2 12 7 2 2" xfId="20747"/>
    <cellStyle name="표준 2 12 7 3" xfId="7061"/>
    <cellStyle name="표준 2 12 7 3 2" xfId="18309"/>
    <cellStyle name="표준 2 12 7 4" xfId="4622"/>
    <cellStyle name="표준 2 12 7 4 2" xfId="15871"/>
    <cellStyle name="표준 2 12 7 5" xfId="2631"/>
    <cellStyle name="표준 2 12 7 5 2" xfId="13909"/>
    <cellStyle name="표준 2 12 7 6" xfId="12449"/>
    <cellStyle name="표준 2 12 8" xfId="5583"/>
    <cellStyle name="표준 2 12 8 2" xfId="10460"/>
    <cellStyle name="표준 2 12 8 2 2" xfId="21708"/>
    <cellStyle name="표준 2 12 8 3" xfId="8022"/>
    <cellStyle name="표준 2 12 8 3 2" xfId="19270"/>
    <cellStyle name="표준 2 12 8 4" xfId="16832"/>
    <cellStyle name="표준 2 12 9" xfId="5689"/>
    <cellStyle name="표준 2 12 9 2" xfId="10566"/>
    <cellStyle name="표준 2 12 9 2 2" xfId="21814"/>
    <cellStyle name="표준 2 12 9 3" xfId="8128"/>
    <cellStyle name="표준 2 12 9 3 2" xfId="19376"/>
    <cellStyle name="표준 2 12 9 4" xfId="16938"/>
    <cellStyle name="표준 2 13" xfId="94"/>
    <cellStyle name="표준 2 13 10" xfId="3569"/>
    <cellStyle name="표준 2 13 10 2" xfId="8468"/>
    <cellStyle name="표준 2 13 10 2 2" xfId="19716"/>
    <cellStyle name="표준 2 13 10 3" xfId="6030"/>
    <cellStyle name="표준 2 13 10 3 2" xfId="17278"/>
    <cellStyle name="표준 2 13 10 4" xfId="14840"/>
    <cellStyle name="표준 2 13 11" xfId="8289"/>
    <cellStyle name="표준 2 13 11 2" xfId="19537"/>
    <cellStyle name="표준 2 13 12" xfId="5851"/>
    <cellStyle name="표준 2 13 12 2" xfId="17099"/>
    <cellStyle name="표준 2 13 13" xfId="10735"/>
    <cellStyle name="표준 2 13 13 2" xfId="21983"/>
    <cellStyle name="표준 2 13 14" xfId="3383"/>
    <cellStyle name="표준 2 13 14 2" xfId="14661"/>
    <cellStyle name="표준 2 13 15" xfId="1810"/>
    <cellStyle name="표준 2 13 15 2" xfId="13239"/>
    <cellStyle name="표준 2 13 16" xfId="11779"/>
    <cellStyle name="표준 2 13 2" xfId="250"/>
    <cellStyle name="표준 2 13 2 10" xfId="1922"/>
    <cellStyle name="표준 2 13 2 10 2" xfId="13349"/>
    <cellStyle name="표준 2 13 2 11" xfId="11889"/>
    <cellStyle name="표준 2 13 2 2" xfId="534"/>
    <cellStyle name="표준 2 13 2 2 2" xfId="1622"/>
    <cellStyle name="표준 2 13 2 2 2 2" xfId="5397"/>
    <cellStyle name="표준 2 13 2 2 2 2 2" xfId="10274"/>
    <cellStyle name="표준 2 13 2 2 2 2 2 2" xfId="21522"/>
    <cellStyle name="표준 2 13 2 2 2 2 3" xfId="7836"/>
    <cellStyle name="표준 2 13 2 2 2 2 3 2" xfId="19084"/>
    <cellStyle name="표준 2 13 2 2 2 2 4" xfId="16646"/>
    <cellStyle name="표준 2 13 2 2 2 3" xfId="9284"/>
    <cellStyle name="표준 2 13 2 2 2 3 2" xfId="20532"/>
    <cellStyle name="표준 2 13 2 2 2 4" xfId="6846"/>
    <cellStyle name="표준 2 13 2 2 2 4 2" xfId="18094"/>
    <cellStyle name="표준 2 13 2 2 2 5" xfId="4405"/>
    <cellStyle name="표준 2 13 2 2 2 5 2" xfId="15656"/>
    <cellStyle name="표준 2 13 2 2 2 6" xfId="3234"/>
    <cellStyle name="표준 2 13 2 2 2 6 2" xfId="14512"/>
    <cellStyle name="표준 2 13 2 2 2 7" xfId="13052"/>
    <cellStyle name="표준 2 13 2 2 3" xfId="4944"/>
    <cellStyle name="표준 2 13 2 2 3 2" xfId="9821"/>
    <cellStyle name="표준 2 13 2 2 3 2 2" xfId="21069"/>
    <cellStyle name="표준 2 13 2 2 3 3" xfId="7383"/>
    <cellStyle name="표준 2 13 2 2 3 3 2" xfId="18631"/>
    <cellStyle name="표준 2 13 2 2 3 4" xfId="16193"/>
    <cellStyle name="표준 2 13 2 2 4" xfId="8831"/>
    <cellStyle name="표준 2 13 2 2 4 2" xfId="20079"/>
    <cellStyle name="표준 2 13 2 2 5" xfId="6393"/>
    <cellStyle name="표준 2 13 2 2 5 2" xfId="17641"/>
    <cellStyle name="표준 2 13 2 2 6" xfId="11003"/>
    <cellStyle name="표준 2 13 2 2 6 2" xfId="22250"/>
    <cellStyle name="표준 2 13 2 2 7" xfId="3952"/>
    <cellStyle name="표준 2 13 2 2 7 2" xfId="15203"/>
    <cellStyle name="표준 2 13 2 2 8" xfId="2206"/>
    <cellStyle name="표준 2 13 2 2 8 2" xfId="13633"/>
    <cellStyle name="표준 2 13 2 2 9" xfId="12173"/>
    <cellStyle name="표준 2 13 2 3" xfId="1237"/>
    <cellStyle name="표준 2 13 2 3 2" xfId="5170"/>
    <cellStyle name="표준 2 13 2 3 2 2" xfId="10047"/>
    <cellStyle name="표준 2 13 2 3 2 2 2" xfId="21295"/>
    <cellStyle name="표준 2 13 2 3 2 3" xfId="7609"/>
    <cellStyle name="표준 2 13 2 3 2 3 2" xfId="18857"/>
    <cellStyle name="표준 2 13 2 3 2 4" xfId="16419"/>
    <cellStyle name="표준 2 13 2 3 3" xfId="9057"/>
    <cellStyle name="표준 2 13 2 3 3 2" xfId="20305"/>
    <cellStyle name="표준 2 13 2 3 4" xfId="6619"/>
    <cellStyle name="표준 2 13 2 3 4 2" xfId="17867"/>
    <cellStyle name="표준 2 13 2 3 5" xfId="4178"/>
    <cellStyle name="표준 2 13 2 3 5 2" xfId="15429"/>
    <cellStyle name="표준 2 13 2 3 6" xfId="2858"/>
    <cellStyle name="표준 2 13 2 3 6 2" xfId="14136"/>
    <cellStyle name="표준 2 13 2 3 7" xfId="12676"/>
    <cellStyle name="표준 2 13 2 4" xfId="4718"/>
    <cellStyle name="표준 2 13 2 4 2" xfId="9595"/>
    <cellStyle name="표준 2 13 2 4 2 2" xfId="20843"/>
    <cellStyle name="표준 2 13 2 4 3" xfId="7157"/>
    <cellStyle name="표준 2 13 2 4 3 2" xfId="18405"/>
    <cellStyle name="표준 2 13 2 4 4" xfId="15967"/>
    <cellStyle name="표준 2 13 2 5" xfId="3726"/>
    <cellStyle name="표준 2 13 2 5 2" xfId="8605"/>
    <cellStyle name="표준 2 13 2 5 2 2" xfId="19853"/>
    <cellStyle name="표준 2 13 2 5 3" xfId="6167"/>
    <cellStyle name="표준 2 13 2 5 3 2" xfId="17415"/>
    <cellStyle name="표준 2 13 2 5 4" xfId="14977"/>
    <cellStyle name="표준 2 13 2 6" xfId="8372"/>
    <cellStyle name="표준 2 13 2 6 2" xfId="19620"/>
    <cellStyle name="표준 2 13 2 7" xfId="5934"/>
    <cellStyle name="표준 2 13 2 7 2" xfId="17182"/>
    <cellStyle name="표준 2 13 2 8" xfId="10818"/>
    <cellStyle name="표준 2 13 2 8 2" xfId="22066"/>
    <cellStyle name="표준 2 13 2 9" xfId="3472"/>
    <cellStyle name="표준 2 13 2 9 2" xfId="14744"/>
    <cellStyle name="표준 2 13 3" xfId="424"/>
    <cellStyle name="표준 2 13 3 2" xfId="1694"/>
    <cellStyle name="표준 2 13 3 2 2" xfId="5313"/>
    <cellStyle name="표준 2 13 3 2 2 2" xfId="10190"/>
    <cellStyle name="표준 2 13 3 2 2 2 2" xfId="21438"/>
    <cellStyle name="표준 2 13 3 2 2 3" xfId="7752"/>
    <cellStyle name="표준 2 13 3 2 2 3 2" xfId="19000"/>
    <cellStyle name="표준 2 13 3 2 2 4" xfId="16562"/>
    <cellStyle name="표준 2 13 3 2 3" xfId="9200"/>
    <cellStyle name="표준 2 13 3 2 3 2" xfId="20448"/>
    <cellStyle name="표준 2 13 3 2 4" xfId="6762"/>
    <cellStyle name="표준 2 13 3 2 4 2" xfId="18010"/>
    <cellStyle name="표준 2 13 3 2 5" xfId="4321"/>
    <cellStyle name="표준 2 13 3 2 5 2" xfId="15572"/>
    <cellStyle name="표준 2 13 3 2 6" xfId="3306"/>
    <cellStyle name="표준 2 13 3 2 6 2" xfId="14584"/>
    <cellStyle name="표준 2 13 3 2 7" xfId="13124"/>
    <cellStyle name="표준 2 13 3 3" xfId="1309"/>
    <cellStyle name="표준 2 13 3 3 2" xfId="9737"/>
    <cellStyle name="표준 2 13 3 3 2 2" xfId="20985"/>
    <cellStyle name="표준 2 13 3 3 3" xfId="7299"/>
    <cellStyle name="표준 2 13 3 3 3 2" xfId="18547"/>
    <cellStyle name="표준 2 13 3 3 4" xfId="4860"/>
    <cellStyle name="표준 2 13 3 3 4 2" xfId="16109"/>
    <cellStyle name="표준 2 13 3 3 5" xfId="2930"/>
    <cellStyle name="표준 2 13 3 3 5 2" xfId="14208"/>
    <cellStyle name="표준 2 13 3 3 6" xfId="12748"/>
    <cellStyle name="표준 2 13 3 4" xfId="8747"/>
    <cellStyle name="표준 2 13 3 4 2" xfId="19995"/>
    <cellStyle name="표준 2 13 3 5" xfId="6309"/>
    <cellStyle name="표준 2 13 3 5 2" xfId="17557"/>
    <cellStyle name="표준 2 13 3 6" xfId="10920"/>
    <cellStyle name="표준 2 13 3 6 2" xfId="22167"/>
    <cellStyle name="표준 2 13 3 7" xfId="3868"/>
    <cellStyle name="표준 2 13 3 7 2" xfId="15119"/>
    <cellStyle name="표준 2 13 3 8" xfId="2096"/>
    <cellStyle name="표준 2 13 3 8 2" xfId="13523"/>
    <cellStyle name="표준 2 13 3 9" xfId="12063"/>
    <cellStyle name="표준 2 13 4" xfId="734"/>
    <cellStyle name="표준 2 13 4 2" xfId="1398"/>
    <cellStyle name="표준 2 13 4 2 2" xfId="9963"/>
    <cellStyle name="표준 2 13 4 2 2 2" xfId="21211"/>
    <cellStyle name="표준 2 13 4 2 3" xfId="7525"/>
    <cellStyle name="표준 2 13 4 2 3 2" xfId="18773"/>
    <cellStyle name="표준 2 13 4 2 4" xfId="5086"/>
    <cellStyle name="표준 2 13 4 2 4 2" xfId="16335"/>
    <cellStyle name="표준 2 13 4 2 5" xfId="3013"/>
    <cellStyle name="표준 2 13 4 2 5 2" xfId="14291"/>
    <cellStyle name="표준 2 13 4 2 6" xfId="12831"/>
    <cellStyle name="표준 2 13 4 3" xfId="8973"/>
    <cellStyle name="표준 2 13 4 3 2" xfId="20221"/>
    <cellStyle name="표준 2 13 4 4" xfId="6535"/>
    <cellStyle name="표준 2 13 4 4 2" xfId="17783"/>
    <cellStyle name="표준 2 13 4 5" xfId="4094"/>
    <cellStyle name="표준 2 13 4 5 2" xfId="15345"/>
    <cellStyle name="표준 2 13 4 6" xfId="2365"/>
    <cellStyle name="표준 2 13 4 6 2" xfId="13768"/>
    <cellStyle name="표준 2 13 4 7" xfId="12308"/>
    <cellStyle name="표준 2 13 5" xfId="1127"/>
    <cellStyle name="표준 2 13 5 2" xfId="5493"/>
    <cellStyle name="표준 2 13 5 2 2" xfId="10370"/>
    <cellStyle name="표준 2 13 5 2 2 2" xfId="21618"/>
    <cellStyle name="표준 2 13 5 2 3" xfId="7932"/>
    <cellStyle name="표준 2 13 5 2 3 2" xfId="19180"/>
    <cellStyle name="표준 2 13 5 2 4" xfId="16742"/>
    <cellStyle name="표준 2 13 5 3" xfId="9380"/>
    <cellStyle name="표준 2 13 5 3 2" xfId="20628"/>
    <cellStyle name="표준 2 13 5 4" xfId="6942"/>
    <cellStyle name="표준 2 13 5 4 2" xfId="18190"/>
    <cellStyle name="표준 2 13 5 5" xfId="4503"/>
    <cellStyle name="표준 2 13 5 5 2" xfId="15752"/>
    <cellStyle name="표준 2 13 5 6" xfId="2748"/>
    <cellStyle name="표준 2 13 5 6 2" xfId="14026"/>
    <cellStyle name="표준 2 13 5 7" xfId="12566"/>
    <cellStyle name="표준 2 13 6" xfId="4634"/>
    <cellStyle name="표준 2 13 6 2" xfId="9511"/>
    <cellStyle name="표준 2 13 6 2 2" xfId="20759"/>
    <cellStyle name="표준 2 13 6 3" xfId="7073"/>
    <cellStyle name="표준 2 13 6 3 2" xfId="18321"/>
    <cellStyle name="표준 2 13 6 4" xfId="15883"/>
    <cellStyle name="표준 2 13 7" xfId="5577"/>
    <cellStyle name="표준 2 13 7 2" xfId="10454"/>
    <cellStyle name="표준 2 13 7 2 2" xfId="21702"/>
    <cellStyle name="표준 2 13 7 3" xfId="8016"/>
    <cellStyle name="표준 2 13 7 3 2" xfId="19264"/>
    <cellStyle name="표준 2 13 7 4" xfId="16826"/>
    <cellStyle name="표준 2 13 8" xfId="5683"/>
    <cellStyle name="표준 2 13 8 2" xfId="10560"/>
    <cellStyle name="표준 2 13 8 2 2" xfId="21808"/>
    <cellStyle name="표준 2 13 8 3" xfId="8122"/>
    <cellStyle name="표준 2 13 8 3 2" xfId="19370"/>
    <cellStyle name="표준 2 13 8 4" xfId="16932"/>
    <cellStyle name="표준 2 13 9" xfId="5766"/>
    <cellStyle name="표준 2 13 9 2" xfId="10643"/>
    <cellStyle name="표준 2 13 9 2 2" xfId="21891"/>
    <cellStyle name="표준 2 13 9 3" xfId="8205"/>
    <cellStyle name="표준 2 13 9 3 2" xfId="19453"/>
    <cellStyle name="표준 2 13 9 4" xfId="17015"/>
    <cellStyle name="표준 2 14" xfId="204"/>
    <cellStyle name="표준 2 14 10" xfId="3637"/>
    <cellStyle name="표준 2 14 10 2" xfId="8536"/>
    <cellStyle name="표준 2 14 10 2 2" xfId="19784"/>
    <cellStyle name="표준 2 14 10 3" xfId="6098"/>
    <cellStyle name="표준 2 14 10 3 2" xfId="17346"/>
    <cellStyle name="표준 2 14 10 4" xfId="14908"/>
    <cellStyle name="표준 2 14 11" xfId="8357"/>
    <cellStyle name="표준 2 14 11 2" xfId="19605"/>
    <cellStyle name="표준 2 14 12" xfId="5919"/>
    <cellStyle name="표준 2 14 12 2" xfId="17167"/>
    <cellStyle name="표준 2 14 13" xfId="10803"/>
    <cellStyle name="표준 2 14 13 2" xfId="22051"/>
    <cellStyle name="표준 2 14 14" xfId="3457"/>
    <cellStyle name="표준 2 14 14 2" xfId="14729"/>
    <cellStyle name="표준 2 14 15" xfId="1876"/>
    <cellStyle name="표준 2 14 15 2" xfId="13303"/>
    <cellStyle name="표준 2 14 16" xfId="11843"/>
    <cellStyle name="표준 2 14 2" xfId="488"/>
    <cellStyle name="표준 2 14 2 10" xfId="2160"/>
    <cellStyle name="표준 2 14 2 10 2" xfId="13587"/>
    <cellStyle name="표준 2 14 2 11" xfId="12127"/>
    <cellStyle name="표준 2 14 2 2" xfId="1758"/>
    <cellStyle name="표준 2 14 2 2 2" xfId="4475"/>
    <cellStyle name="표준 2 14 2 2 2 2" xfId="5467"/>
    <cellStyle name="표준 2 14 2 2 2 2 2" xfId="10344"/>
    <cellStyle name="표준 2 14 2 2 2 2 2 2" xfId="21592"/>
    <cellStyle name="표준 2 14 2 2 2 2 3" xfId="7906"/>
    <cellStyle name="표준 2 14 2 2 2 2 3 2" xfId="19154"/>
    <cellStyle name="표준 2 14 2 2 2 2 4" xfId="16716"/>
    <cellStyle name="표준 2 14 2 2 2 3" xfId="9354"/>
    <cellStyle name="표준 2 14 2 2 2 3 2" xfId="20602"/>
    <cellStyle name="표준 2 14 2 2 2 4" xfId="6916"/>
    <cellStyle name="표준 2 14 2 2 2 4 2" xfId="18164"/>
    <cellStyle name="표준 2 14 2 2 2 5" xfId="15726"/>
    <cellStyle name="표준 2 14 2 2 3" xfId="5014"/>
    <cellStyle name="표준 2 14 2 2 3 2" xfId="9891"/>
    <cellStyle name="표준 2 14 2 2 3 2 2" xfId="21139"/>
    <cellStyle name="표준 2 14 2 2 3 3" xfId="7453"/>
    <cellStyle name="표준 2 14 2 2 3 3 2" xfId="18701"/>
    <cellStyle name="표준 2 14 2 2 3 4" xfId="16263"/>
    <cellStyle name="표준 2 14 2 2 4" xfId="8901"/>
    <cellStyle name="표준 2 14 2 2 4 2" xfId="20149"/>
    <cellStyle name="표준 2 14 2 2 5" xfId="6463"/>
    <cellStyle name="표준 2 14 2 2 5 2" xfId="17711"/>
    <cellStyle name="표준 2 14 2 2 6" xfId="11071"/>
    <cellStyle name="표준 2 14 2 2 6 2" xfId="22318"/>
    <cellStyle name="표준 2 14 2 2 7" xfId="4022"/>
    <cellStyle name="표준 2 14 2 2 7 2" xfId="15273"/>
    <cellStyle name="표준 2 14 2 2 8" xfId="3370"/>
    <cellStyle name="표준 2 14 2 2 8 2" xfId="14648"/>
    <cellStyle name="표준 2 14 2 2 9" xfId="13188"/>
    <cellStyle name="표준 2 14 2 3" xfId="1377"/>
    <cellStyle name="표준 2 14 2 3 2" xfId="5240"/>
    <cellStyle name="표준 2 14 2 3 2 2" xfId="10117"/>
    <cellStyle name="표준 2 14 2 3 2 2 2" xfId="21365"/>
    <cellStyle name="표준 2 14 2 3 2 3" xfId="7679"/>
    <cellStyle name="표준 2 14 2 3 2 3 2" xfId="18927"/>
    <cellStyle name="표준 2 14 2 3 2 4" xfId="16489"/>
    <cellStyle name="표준 2 14 2 3 3" xfId="9127"/>
    <cellStyle name="표준 2 14 2 3 3 2" xfId="20375"/>
    <cellStyle name="표준 2 14 2 3 4" xfId="6689"/>
    <cellStyle name="표준 2 14 2 3 4 2" xfId="17937"/>
    <cellStyle name="표준 2 14 2 3 5" xfId="4248"/>
    <cellStyle name="표준 2 14 2 3 5 2" xfId="15499"/>
    <cellStyle name="표준 2 14 2 3 6" xfId="2998"/>
    <cellStyle name="표준 2 14 2 3 6 2" xfId="14276"/>
    <cellStyle name="표준 2 14 2 3 7" xfId="12816"/>
    <cellStyle name="표준 2 14 2 4" xfId="4788"/>
    <cellStyle name="표준 2 14 2 4 2" xfId="9665"/>
    <cellStyle name="표준 2 14 2 4 2 2" xfId="20913"/>
    <cellStyle name="표준 2 14 2 4 3" xfId="7227"/>
    <cellStyle name="표준 2 14 2 4 3 2" xfId="18475"/>
    <cellStyle name="표준 2 14 2 4 4" xfId="16037"/>
    <cellStyle name="표준 2 14 2 5" xfId="3796"/>
    <cellStyle name="표준 2 14 2 5 2" xfId="8675"/>
    <cellStyle name="표준 2 14 2 5 2 2" xfId="19923"/>
    <cellStyle name="표준 2 14 2 5 3" xfId="6237"/>
    <cellStyle name="표준 2 14 2 5 3 2" xfId="17485"/>
    <cellStyle name="표준 2 14 2 5 4" xfId="15047"/>
    <cellStyle name="표준 2 14 2 6" xfId="8440"/>
    <cellStyle name="표준 2 14 2 6 2" xfId="19688"/>
    <cellStyle name="표준 2 14 2 7" xfId="6002"/>
    <cellStyle name="표준 2 14 2 7 2" xfId="17250"/>
    <cellStyle name="표준 2 14 2 8" xfId="10886"/>
    <cellStyle name="표준 2 14 2 8 2" xfId="22134"/>
    <cellStyle name="표준 2 14 2 9" xfId="3540"/>
    <cellStyle name="표준 2 14 2 9 2" xfId="14812"/>
    <cellStyle name="표준 2 14 3" xfId="823"/>
    <cellStyle name="표준 2 14 3 2" xfId="1469"/>
    <cellStyle name="표준 2 14 3 2 2" xfId="5381"/>
    <cellStyle name="표준 2 14 3 2 2 2" xfId="10258"/>
    <cellStyle name="표준 2 14 3 2 2 2 2" xfId="21506"/>
    <cellStyle name="표준 2 14 3 2 2 3" xfId="7820"/>
    <cellStyle name="표준 2 14 3 2 2 3 2" xfId="19068"/>
    <cellStyle name="표준 2 14 3 2 2 4" xfId="16630"/>
    <cellStyle name="표준 2 14 3 2 3" xfId="9268"/>
    <cellStyle name="표준 2 14 3 2 3 2" xfId="20516"/>
    <cellStyle name="표준 2 14 3 2 4" xfId="6830"/>
    <cellStyle name="표준 2 14 3 2 4 2" xfId="18078"/>
    <cellStyle name="표준 2 14 3 2 5" xfId="4389"/>
    <cellStyle name="표준 2 14 3 2 5 2" xfId="15640"/>
    <cellStyle name="표준 2 14 3 2 6" xfId="3081"/>
    <cellStyle name="표준 2 14 3 2 6 2" xfId="14359"/>
    <cellStyle name="표준 2 14 3 2 7" xfId="12899"/>
    <cellStyle name="표준 2 14 3 3" xfId="4928"/>
    <cellStyle name="표준 2 14 3 3 2" xfId="9805"/>
    <cellStyle name="표준 2 14 3 3 2 2" xfId="21053"/>
    <cellStyle name="표준 2 14 3 3 3" xfId="7367"/>
    <cellStyle name="표준 2 14 3 3 3 2" xfId="18615"/>
    <cellStyle name="표준 2 14 3 3 4" xfId="16177"/>
    <cellStyle name="표준 2 14 3 4" xfId="8815"/>
    <cellStyle name="표준 2 14 3 4 2" xfId="20063"/>
    <cellStyle name="표준 2 14 3 5" xfId="6377"/>
    <cellStyle name="표준 2 14 3 5 2" xfId="17625"/>
    <cellStyle name="표준 2 14 3 6" xfId="10988"/>
    <cellStyle name="표준 2 14 3 6 2" xfId="22235"/>
    <cellStyle name="표준 2 14 3 7" xfId="3936"/>
    <cellStyle name="표준 2 14 3 7 2" xfId="15187"/>
    <cellStyle name="표준 2 14 3 8" xfId="2447"/>
    <cellStyle name="표준 2 14 3 8 2" xfId="13836"/>
    <cellStyle name="표준 2 14 3 9" xfId="12376"/>
    <cellStyle name="표준 2 14 4" xfId="1191"/>
    <cellStyle name="표준 2 14 4 2" xfId="5154"/>
    <cellStyle name="표준 2 14 4 2 2" xfId="10031"/>
    <cellStyle name="표준 2 14 4 2 2 2" xfId="21279"/>
    <cellStyle name="표준 2 14 4 2 3" xfId="7593"/>
    <cellStyle name="표준 2 14 4 2 3 2" xfId="18841"/>
    <cellStyle name="표준 2 14 4 2 4" xfId="16403"/>
    <cellStyle name="표준 2 14 4 3" xfId="9041"/>
    <cellStyle name="표준 2 14 4 3 2" xfId="20289"/>
    <cellStyle name="표준 2 14 4 4" xfId="6603"/>
    <cellStyle name="표준 2 14 4 4 2" xfId="17851"/>
    <cellStyle name="표준 2 14 4 5" xfId="4162"/>
    <cellStyle name="표준 2 14 4 5 2" xfId="15413"/>
    <cellStyle name="표준 2 14 4 6" xfId="2812"/>
    <cellStyle name="표준 2 14 4 6 2" xfId="14090"/>
    <cellStyle name="표준 2 14 4 7" xfId="12630"/>
    <cellStyle name="표준 2 14 5" xfId="4571"/>
    <cellStyle name="표준 2 14 5 2" xfId="5561"/>
    <cellStyle name="표준 2 14 5 2 2" xfId="10438"/>
    <cellStyle name="표준 2 14 5 2 2 2" xfId="21686"/>
    <cellStyle name="표준 2 14 5 2 3" xfId="8000"/>
    <cellStyle name="표준 2 14 5 2 3 2" xfId="19248"/>
    <cellStyle name="표준 2 14 5 2 4" xfId="16810"/>
    <cellStyle name="표준 2 14 5 3" xfId="9448"/>
    <cellStyle name="표준 2 14 5 3 2" xfId="20696"/>
    <cellStyle name="표준 2 14 5 4" xfId="7010"/>
    <cellStyle name="표준 2 14 5 4 2" xfId="18258"/>
    <cellStyle name="표준 2 14 5 5" xfId="15820"/>
    <cellStyle name="표준 2 14 6" xfId="4702"/>
    <cellStyle name="표준 2 14 6 2" xfId="9579"/>
    <cellStyle name="표준 2 14 6 2 2" xfId="20827"/>
    <cellStyle name="표준 2 14 6 3" xfId="7141"/>
    <cellStyle name="표준 2 14 6 3 2" xfId="18389"/>
    <cellStyle name="표준 2 14 6 4" xfId="15951"/>
    <cellStyle name="표준 2 14 7" xfId="5645"/>
    <cellStyle name="표준 2 14 7 2" xfId="10522"/>
    <cellStyle name="표준 2 14 7 2 2" xfId="21770"/>
    <cellStyle name="표준 2 14 7 3" xfId="8084"/>
    <cellStyle name="표준 2 14 7 3 2" xfId="19332"/>
    <cellStyle name="표준 2 14 7 4" xfId="16894"/>
    <cellStyle name="표준 2 14 8" xfId="5751"/>
    <cellStyle name="표준 2 14 8 2" xfId="10628"/>
    <cellStyle name="표준 2 14 8 2 2" xfId="21876"/>
    <cellStyle name="표준 2 14 8 3" xfId="8190"/>
    <cellStyle name="표준 2 14 8 3 2" xfId="19438"/>
    <cellStyle name="표준 2 14 8 4" xfId="17000"/>
    <cellStyle name="표준 2 14 9" xfId="5834"/>
    <cellStyle name="표준 2 14 9 2" xfId="10711"/>
    <cellStyle name="표준 2 14 9 2 2" xfId="21959"/>
    <cellStyle name="표준 2 14 9 3" xfId="8273"/>
    <cellStyle name="표준 2 14 9 3 2" xfId="19521"/>
    <cellStyle name="표준 2 14 9 4" xfId="17083"/>
    <cellStyle name="표준 2 15" xfId="378"/>
    <cellStyle name="표준 2 15 10" xfId="2050"/>
    <cellStyle name="표준 2 15 10 2" xfId="13477"/>
    <cellStyle name="표준 2 15 11" xfId="12017"/>
    <cellStyle name="표준 2 15 2" xfId="725"/>
    <cellStyle name="표준 2 15 2 2" xfId="1476"/>
    <cellStyle name="표준 2 15 2 2 2" xfId="5305"/>
    <cellStyle name="표준 2 15 2 2 2 2" xfId="10182"/>
    <cellStyle name="표준 2 15 2 2 2 2 2" xfId="21430"/>
    <cellStyle name="표준 2 15 2 2 2 3" xfId="7744"/>
    <cellStyle name="표준 2 15 2 2 2 3 2" xfId="18992"/>
    <cellStyle name="표준 2 15 2 2 2 4" xfId="16554"/>
    <cellStyle name="표준 2 15 2 2 3" xfId="9192"/>
    <cellStyle name="표준 2 15 2 2 3 2" xfId="20440"/>
    <cellStyle name="표준 2 15 2 2 4" xfId="6754"/>
    <cellStyle name="표준 2 15 2 2 4 2" xfId="18002"/>
    <cellStyle name="표준 2 15 2 2 5" xfId="4313"/>
    <cellStyle name="표준 2 15 2 2 5 2" xfId="15564"/>
    <cellStyle name="표준 2 15 2 2 6" xfId="3088"/>
    <cellStyle name="표준 2 15 2 2 6 2" xfId="14366"/>
    <cellStyle name="표준 2 15 2 2 7" xfId="12906"/>
    <cellStyle name="표준 2 15 2 3" xfId="4852"/>
    <cellStyle name="표준 2 15 2 3 2" xfId="9729"/>
    <cellStyle name="표준 2 15 2 3 2 2" xfId="20977"/>
    <cellStyle name="표준 2 15 2 3 3" xfId="7291"/>
    <cellStyle name="표준 2 15 2 3 3 2" xfId="18539"/>
    <cellStyle name="표준 2 15 2 3 4" xfId="16101"/>
    <cellStyle name="표준 2 15 2 4" xfId="8739"/>
    <cellStyle name="표준 2 15 2 4 2" xfId="19987"/>
    <cellStyle name="표준 2 15 2 5" xfId="6301"/>
    <cellStyle name="표준 2 15 2 5 2" xfId="17549"/>
    <cellStyle name="표준 2 15 2 6" xfId="10995"/>
    <cellStyle name="표준 2 15 2 6 2" xfId="22242"/>
    <cellStyle name="표준 2 15 2 7" xfId="3860"/>
    <cellStyle name="표준 2 15 2 7 2" xfId="15111"/>
    <cellStyle name="표준 2 15 2 8" xfId="2357"/>
    <cellStyle name="표준 2 15 2 8 2" xfId="13760"/>
    <cellStyle name="표준 2 15 2 9" xfId="12300"/>
    <cellStyle name="표준 2 15 3" xfId="1081"/>
    <cellStyle name="표준 2 15 3 2" xfId="5078"/>
    <cellStyle name="표준 2 15 3 2 2" xfId="9955"/>
    <cellStyle name="표준 2 15 3 2 2 2" xfId="21203"/>
    <cellStyle name="표준 2 15 3 2 3" xfId="7517"/>
    <cellStyle name="표준 2 15 3 2 3 2" xfId="18765"/>
    <cellStyle name="표준 2 15 3 2 4" xfId="16327"/>
    <cellStyle name="표준 2 15 3 3" xfId="8965"/>
    <cellStyle name="표준 2 15 3 3 2" xfId="20213"/>
    <cellStyle name="표준 2 15 3 4" xfId="6527"/>
    <cellStyle name="표준 2 15 3 4 2" xfId="17775"/>
    <cellStyle name="표준 2 15 3 5" xfId="4086"/>
    <cellStyle name="표준 2 15 3 5 2" xfId="15337"/>
    <cellStyle name="표준 2 15 3 6" xfId="2702"/>
    <cellStyle name="표준 2 15 3 6 2" xfId="13980"/>
    <cellStyle name="표준 2 15 3 7" xfId="12520"/>
    <cellStyle name="표준 2 15 4" xfId="4626"/>
    <cellStyle name="표준 2 15 4 2" xfId="9503"/>
    <cellStyle name="표준 2 15 4 2 2" xfId="20751"/>
    <cellStyle name="표준 2 15 4 3" xfId="7065"/>
    <cellStyle name="표준 2 15 4 3 2" xfId="18313"/>
    <cellStyle name="표준 2 15 4 4" xfId="15875"/>
    <cellStyle name="표준 2 15 5" xfId="3561"/>
    <cellStyle name="표준 2 15 5 2" xfId="8460"/>
    <cellStyle name="표준 2 15 5 2 2" xfId="19708"/>
    <cellStyle name="표준 2 15 5 3" xfId="6022"/>
    <cellStyle name="표준 2 15 5 3 2" xfId="17270"/>
    <cellStyle name="표준 2 15 5 4" xfId="14832"/>
    <cellStyle name="표준 2 15 6" xfId="8364"/>
    <cellStyle name="표준 2 15 6 2" xfId="19612"/>
    <cellStyle name="표준 2 15 7" xfId="5926"/>
    <cellStyle name="표준 2 15 7 2" xfId="17174"/>
    <cellStyle name="표준 2 15 8" xfId="10810"/>
    <cellStyle name="표준 2 15 8 2" xfId="22058"/>
    <cellStyle name="표준 2 15 9" xfId="3464"/>
    <cellStyle name="표준 2 15 9 2" xfId="14736"/>
    <cellStyle name="표준 2 16" xfId="314"/>
    <cellStyle name="표준 2 16 10" xfId="1986"/>
    <cellStyle name="표준 2 16 10 2" xfId="13413"/>
    <cellStyle name="표준 2 16 11" xfId="11953"/>
    <cellStyle name="표준 2 16 2" xfId="1686"/>
    <cellStyle name="표준 2 16 2 2" xfId="4397"/>
    <cellStyle name="표준 2 16 2 2 2" xfId="5389"/>
    <cellStyle name="표준 2 16 2 2 2 2" xfId="10266"/>
    <cellStyle name="표준 2 16 2 2 2 2 2" xfId="21514"/>
    <cellStyle name="표준 2 16 2 2 2 3" xfId="7828"/>
    <cellStyle name="표준 2 16 2 2 2 3 2" xfId="19076"/>
    <cellStyle name="표준 2 16 2 2 2 4" xfId="16638"/>
    <cellStyle name="표준 2 16 2 2 3" xfId="9276"/>
    <cellStyle name="표준 2 16 2 2 3 2" xfId="20524"/>
    <cellStyle name="표준 2 16 2 2 4" xfId="6838"/>
    <cellStyle name="표준 2 16 2 2 4 2" xfId="18086"/>
    <cellStyle name="표준 2 16 2 2 5" xfId="15648"/>
    <cellStyle name="표준 2 16 2 3" xfId="4936"/>
    <cellStyle name="표준 2 16 2 3 2" xfId="9813"/>
    <cellStyle name="표준 2 16 2 3 2 2" xfId="21061"/>
    <cellStyle name="표준 2 16 2 3 3" xfId="7375"/>
    <cellStyle name="표준 2 16 2 3 3 2" xfId="18623"/>
    <cellStyle name="표준 2 16 2 3 4" xfId="16185"/>
    <cellStyle name="표준 2 16 2 4" xfId="8823"/>
    <cellStyle name="표준 2 16 2 4 2" xfId="20071"/>
    <cellStyle name="표준 2 16 2 5" xfId="6385"/>
    <cellStyle name="표준 2 16 2 5 2" xfId="17633"/>
    <cellStyle name="표준 2 16 2 6" xfId="11078"/>
    <cellStyle name="표준 2 16 2 6 2" xfId="22325"/>
    <cellStyle name="표준 2 16 2 7" xfId="3944"/>
    <cellStyle name="표준 2 16 2 7 2" xfId="15195"/>
    <cellStyle name="표준 2 16 2 8" xfId="3298"/>
    <cellStyle name="표준 2 16 2 8 2" xfId="14576"/>
    <cellStyle name="표준 2 16 2 9" xfId="13116"/>
    <cellStyle name="표준 2 16 3" xfId="1301"/>
    <cellStyle name="표준 2 16 3 2" xfId="5162"/>
    <cellStyle name="표준 2 16 3 2 2" xfId="10039"/>
    <cellStyle name="표준 2 16 3 2 2 2" xfId="21287"/>
    <cellStyle name="표준 2 16 3 2 3" xfId="7601"/>
    <cellStyle name="표준 2 16 3 2 3 2" xfId="18849"/>
    <cellStyle name="표준 2 16 3 2 4" xfId="16411"/>
    <cellStyle name="표준 2 16 3 3" xfId="9049"/>
    <cellStyle name="표준 2 16 3 3 2" xfId="20297"/>
    <cellStyle name="표준 2 16 3 4" xfId="6611"/>
    <cellStyle name="표준 2 16 3 4 2" xfId="17859"/>
    <cellStyle name="표준 2 16 3 5" xfId="4170"/>
    <cellStyle name="표준 2 16 3 5 2" xfId="15421"/>
    <cellStyle name="표준 2 16 3 6" xfId="2922"/>
    <cellStyle name="표준 2 16 3 6 2" xfId="14200"/>
    <cellStyle name="표준 2 16 3 7" xfId="12740"/>
    <cellStyle name="표준 2 16 4" xfId="4710"/>
    <cellStyle name="표준 2 16 4 2" xfId="9587"/>
    <cellStyle name="표준 2 16 4 2 2" xfId="20835"/>
    <cellStyle name="표준 2 16 4 3" xfId="7149"/>
    <cellStyle name="표준 2 16 4 3 2" xfId="18397"/>
    <cellStyle name="표준 2 16 4 4" xfId="15959"/>
    <cellStyle name="표준 2 16 5" xfId="3718"/>
    <cellStyle name="표준 2 16 5 2" xfId="8597"/>
    <cellStyle name="표준 2 16 5 2 2" xfId="19845"/>
    <cellStyle name="표준 2 16 5 3" xfId="6159"/>
    <cellStyle name="표준 2 16 5 3 2" xfId="17407"/>
    <cellStyle name="표준 2 16 5 4" xfId="14969"/>
    <cellStyle name="표준 2 16 6" xfId="8447"/>
    <cellStyle name="표준 2 16 6 2" xfId="19695"/>
    <cellStyle name="표준 2 16 7" xfId="6009"/>
    <cellStyle name="표준 2 16 7 2" xfId="17257"/>
    <cellStyle name="표준 2 16 8" xfId="10893"/>
    <cellStyle name="표준 2 16 8 2" xfId="22141"/>
    <cellStyle name="표준 2 16 9" xfId="3548"/>
    <cellStyle name="표준 2 16 9 2" xfId="14819"/>
    <cellStyle name="표준 2 17" xfId="606"/>
    <cellStyle name="표준 2 17 2" xfId="1390"/>
    <cellStyle name="표준 2 17 2 2" xfId="5257"/>
    <cellStyle name="표준 2 17 2 2 2" xfId="10134"/>
    <cellStyle name="표준 2 17 2 2 2 2" xfId="21382"/>
    <cellStyle name="표준 2 17 2 2 3" xfId="7696"/>
    <cellStyle name="표준 2 17 2 2 3 2" xfId="18944"/>
    <cellStyle name="표준 2 17 2 2 4" xfId="16506"/>
    <cellStyle name="표준 2 17 2 3" xfId="9144"/>
    <cellStyle name="표준 2 17 2 3 2" xfId="20392"/>
    <cellStyle name="표준 2 17 2 4" xfId="6706"/>
    <cellStyle name="표준 2 17 2 4 2" xfId="17954"/>
    <cellStyle name="표준 2 17 2 5" xfId="10912"/>
    <cellStyle name="표준 2 17 2 5 2" xfId="22159"/>
    <cellStyle name="표준 2 17 2 6" xfId="4265"/>
    <cellStyle name="표준 2 17 2 6 2" xfId="15516"/>
    <cellStyle name="표준 2 17 2 7" xfId="3005"/>
    <cellStyle name="표준 2 17 2 7 2" xfId="14283"/>
    <cellStyle name="표준 2 17 2 8" xfId="12823"/>
    <cellStyle name="표준 2 17 3" xfId="4804"/>
    <cellStyle name="표준 2 17 3 2" xfId="9681"/>
    <cellStyle name="표준 2 17 3 2 2" xfId="20929"/>
    <cellStyle name="표준 2 17 3 3" xfId="7243"/>
    <cellStyle name="표준 2 17 3 3 2" xfId="18491"/>
    <cellStyle name="표준 2 17 3 4" xfId="16053"/>
    <cellStyle name="표준 2 17 4" xfId="8691"/>
    <cellStyle name="표준 2 17 4 2" xfId="19939"/>
    <cellStyle name="표준 2 17 5" xfId="6253"/>
    <cellStyle name="표준 2 17 5 2" xfId="17501"/>
    <cellStyle name="표준 2 17 6" xfId="10727"/>
    <cellStyle name="표준 2 17 6 2" xfId="21975"/>
    <cellStyle name="표준 2 17 7" xfId="3812"/>
    <cellStyle name="표준 2 17 7 2" xfId="15063"/>
    <cellStyle name="표준 2 17 8" xfId="2278"/>
    <cellStyle name="표준 2 17 8 2" xfId="13697"/>
    <cellStyle name="표준 2 17 9" xfId="12237"/>
    <cellStyle name="표준 2 18" xfId="1017"/>
    <cellStyle name="표준 2 18 2" xfId="5030"/>
    <cellStyle name="표준 2 18 2 2" xfId="9907"/>
    <cellStyle name="표준 2 18 2 2 2" xfId="21155"/>
    <cellStyle name="표준 2 18 2 3" xfId="7469"/>
    <cellStyle name="표준 2 18 2 3 2" xfId="18717"/>
    <cellStyle name="표준 2 18 2 4" xfId="16279"/>
    <cellStyle name="표준 2 18 3" xfId="8917"/>
    <cellStyle name="표준 2 18 3 2" xfId="20165"/>
    <cellStyle name="표준 2 18 4" xfId="6479"/>
    <cellStyle name="표준 2 18 4 2" xfId="17727"/>
    <cellStyle name="표준 2 18 5" xfId="10904"/>
    <cellStyle name="표준 2 18 5 2" xfId="22151"/>
    <cellStyle name="표준 2 18 6" xfId="4038"/>
    <cellStyle name="표준 2 18 6 2" xfId="15289"/>
    <cellStyle name="표준 2 18 7" xfId="2638"/>
    <cellStyle name="표준 2 18 7 2" xfId="13916"/>
    <cellStyle name="표준 2 18 8" xfId="12456"/>
    <cellStyle name="표준 2 19" xfId="942"/>
    <cellStyle name="표준 2 19 2" xfId="5485"/>
    <cellStyle name="표준 2 19 2 2" xfId="10362"/>
    <cellStyle name="표준 2 19 2 2 2" xfId="21610"/>
    <cellStyle name="표준 2 19 2 3" xfId="7924"/>
    <cellStyle name="표준 2 19 2 3 2" xfId="19172"/>
    <cellStyle name="표준 2 19 2 4" xfId="16734"/>
    <cellStyle name="표준 2 19 3" xfId="9372"/>
    <cellStyle name="표준 2 19 3 2" xfId="20620"/>
    <cellStyle name="표준 2 19 4" xfId="6934"/>
    <cellStyle name="표준 2 19 4 2" xfId="18182"/>
    <cellStyle name="표준 2 19 5" xfId="4495"/>
    <cellStyle name="표준 2 19 5 2" xfId="15744"/>
    <cellStyle name="표준 2 19 6" xfId="2565"/>
    <cellStyle name="표준 2 19 6 2" xfId="13843"/>
    <cellStyle name="표준 2 19 7" xfId="12383"/>
    <cellStyle name="표준 2 2" xfId="50"/>
    <cellStyle name="표준 2 2 10" xfId="206"/>
    <cellStyle name="표준 2 2 10 10" xfId="3641"/>
    <cellStyle name="표준 2 2 10 10 2" xfId="8540"/>
    <cellStyle name="표준 2 2 10 10 2 2" xfId="19788"/>
    <cellStyle name="표준 2 2 10 10 3" xfId="6102"/>
    <cellStyle name="표준 2 2 10 10 3 2" xfId="17350"/>
    <cellStyle name="표준 2 2 10 10 4" xfId="14912"/>
    <cellStyle name="표준 2 2 10 11" xfId="8361"/>
    <cellStyle name="표준 2 2 10 11 2" xfId="19609"/>
    <cellStyle name="표준 2 2 10 12" xfId="5923"/>
    <cellStyle name="표준 2 2 10 12 2" xfId="17171"/>
    <cellStyle name="표준 2 2 10 13" xfId="10807"/>
    <cellStyle name="표준 2 2 10 13 2" xfId="22055"/>
    <cellStyle name="표준 2 2 10 14" xfId="3461"/>
    <cellStyle name="표준 2 2 10 14 2" xfId="14733"/>
    <cellStyle name="표준 2 2 10 15" xfId="1878"/>
    <cellStyle name="표준 2 2 10 15 2" xfId="13305"/>
    <cellStyle name="표준 2 2 10 16" xfId="11845"/>
    <cellStyle name="표준 2 2 10 2" xfId="490"/>
    <cellStyle name="표준 2 2 10 2 10" xfId="2162"/>
    <cellStyle name="표준 2 2 10 2 10 2" xfId="13589"/>
    <cellStyle name="표준 2 2 10 2 11" xfId="12129"/>
    <cellStyle name="표준 2 2 10 2 2" xfId="1762"/>
    <cellStyle name="표준 2 2 10 2 2 2" xfId="4479"/>
    <cellStyle name="표준 2 2 10 2 2 2 2" xfId="5471"/>
    <cellStyle name="표준 2 2 10 2 2 2 2 2" xfId="10348"/>
    <cellStyle name="표준 2 2 10 2 2 2 2 2 2" xfId="21596"/>
    <cellStyle name="표준 2 2 10 2 2 2 2 3" xfId="7910"/>
    <cellStyle name="표준 2 2 10 2 2 2 2 3 2" xfId="19158"/>
    <cellStyle name="표준 2 2 10 2 2 2 2 4" xfId="16720"/>
    <cellStyle name="표준 2 2 10 2 2 2 3" xfId="9358"/>
    <cellStyle name="표준 2 2 10 2 2 2 3 2" xfId="20606"/>
    <cellStyle name="표준 2 2 10 2 2 2 4" xfId="6920"/>
    <cellStyle name="표준 2 2 10 2 2 2 4 2" xfId="18168"/>
    <cellStyle name="표준 2 2 10 2 2 2 5" xfId="15730"/>
    <cellStyle name="표준 2 2 10 2 2 3" xfId="5018"/>
    <cellStyle name="표준 2 2 10 2 2 3 2" xfId="9895"/>
    <cellStyle name="표준 2 2 10 2 2 3 2 2" xfId="21143"/>
    <cellStyle name="표준 2 2 10 2 2 3 3" xfId="7457"/>
    <cellStyle name="표준 2 2 10 2 2 3 3 2" xfId="18705"/>
    <cellStyle name="표준 2 2 10 2 2 3 4" xfId="16267"/>
    <cellStyle name="표준 2 2 10 2 2 4" xfId="8905"/>
    <cellStyle name="표준 2 2 10 2 2 4 2" xfId="20153"/>
    <cellStyle name="표준 2 2 10 2 2 5" xfId="6467"/>
    <cellStyle name="표준 2 2 10 2 2 5 2" xfId="17715"/>
    <cellStyle name="표준 2 2 10 2 2 6" xfId="11075"/>
    <cellStyle name="표준 2 2 10 2 2 6 2" xfId="22322"/>
    <cellStyle name="표준 2 2 10 2 2 7" xfId="4026"/>
    <cellStyle name="표준 2 2 10 2 2 7 2" xfId="15277"/>
    <cellStyle name="표준 2 2 10 2 2 8" xfId="3374"/>
    <cellStyle name="표준 2 2 10 2 2 8 2" xfId="14652"/>
    <cellStyle name="표준 2 2 10 2 2 9" xfId="13192"/>
    <cellStyle name="표준 2 2 10 2 3" xfId="1381"/>
    <cellStyle name="표준 2 2 10 2 3 2" xfId="5244"/>
    <cellStyle name="표준 2 2 10 2 3 2 2" xfId="10121"/>
    <cellStyle name="표준 2 2 10 2 3 2 2 2" xfId="21369"/>
    <cellStyle name="표준 2 2 10 2 3 2 3" xfId="7683"/>
    <cellStyle name="표준 2 2 10 2 3 2 3 2" xfId="18931"/>
    <cellStyle name="표준 2 2 10 2 3 2 4" xfId="16493"/>
    <cellStyle name="표준 2 2 10 2 3 3" xfId="9131"/>
    <cellStyle name="표준 2 2 10 2 3 3 2" xfId="20379"/>
    <cellStyle name="표준 2 2 10 2 3 4" xfId="6693"/>
    <cellStyle name="표준 2 2 10 2 3 4 2" xfId="17941"/>
    <cellStyle name="표준 2 2 10 2 3 5" xfId="4252"/>
    <cellStyle name="표준 2 2 10 2 3 5 2" xfId="15503"/>
    <cellStyle name="표준 2 2 10 2 3 6" xfId="3002"/>
    <cellStyle name="표준 2 2 10 2 3 6 2" xfId="14280"/>
    <cellStyle name="표준 2 2 10 2 3 7" xfId="12820"/>
    <cellStyle name="표준 2 2 10 2 4" xfId="4792"/>
    <cellStyle name="표준 2 2 10 2 4 2" xfId="9669"/>
    <cellStyle name="표준 2 2 10 2 4 2 2" xfId="20917"/>
    <cellStyle name="표준 2 2 10 2 4 3" xfId="7231"/>
    <cellStyle name="표준 2 2 10 2 4 3 2" xfId="18479"/>
    <cellStyle name="표준 2 2 10 2 4 4" xfId="16041"/>
    <cellStyle name="표준 2 2 10 2 5" xfId="3800"/>
    <cellStyle name="표준 2 2 10 2 5 2" xfId="8679"/>
    <cellStyle name="표준 2 2 10 2 5 2 2" xfId="19927"/>
    <cellStyle name="표준 2 2 10 2 5 3" xfId="6241"/>
    <cellStyle name="표준 2 2 10 2 5 3 2" xfId="17489"/>
    <cellStyle name="표준 2 2 10 2 5 4" xfId="15051"/>
    <cellStyle name="표준 2 2 10 2 6" xfId="8444"/>
    <cellStyle name="표준 2 2 10 2 6 2" xfId="19692"/>
    <cellStyle name="표준 2 2 10 2 7" xfId="6006"/>
    <cellStyle name="표준 2 2 10 2 7 2" xfId="17254"/>
    <cellStyle name="표준 2 2 10 2 8" xfId="10890"/>
    <cellStyle name="표준 2 2 10 2 8 2" xfId="22138"/>
    <cellStyle name="표준 2 2 10 2 9" xfId="3544"/>
    <cellStyle name="표준 2 2 10 2 9 2" xfId="14816"/>
    <cellStyle name="표준 2 2 10 3" xfId="827"/>
    <cellStyle name="표준 2 2 10 3 2" xfId="1473"/>
    <cellStyle name="표준 2 2 10 3 2 2" xfId="5385"/>
    <cellStyle name="표준 2 2 10 3 2 2 2" xfId="10262"/>
    <cellStyle name="표준 2 2 10 3 2 2 2 2" xfId="21510"/>
    <cellStyle name="표준 2 2 10 3 2 2 3" xfId="7824"/>
    <cellStyle name="표준 2 2 10 3 2 2 3 2" xfId="19072"/>
    <cellStyle name="표준 2 2 10 3 2 2 4" xfId="16634"/>
    <cellStyle name="표준 2 2 10 3 2 3" xfId="9272"/>
    <cellStyle name="표준 2 2 10 3 2 3 2" xfId="20520"/>
    <cellStyle name="표준 2 2 10 3 2 4" xfId="6834"/>
    <cellStyle name="표준 2 2 10 3 2 4 2" xfId="18082"/>
    <cellStyle name="표준 2 2 10 3 2 5" xfId="4393"/>
    <cellStyle name="표준 2 2 10 3 2 5 2" xfId="15644"/>
    <cellStyle name="표준 2 2 10 3 2 6" xfId="3085"/>
    <cellStyle name="표준 2 2 10 3 2 6 2" xfId="14363"/>
    <cellStyle name="표준 2 2 10 3 2 7" xfId="12903"/>
    <cellStyle name="표준 2 2 10 3 3" xfId="4932"/>
    <cellStyle name="표준 2 2 10 3 3 2" xfId="9809"/>
    <cellStyle name="표준 2 2 10 3 3 2 2" xfId="21057"/>
    <cellStyle name="표준 2 2 10 3 3 3" xfId="7371"/>
    <cellStyle name="표준 2 2 10 3 3 3 2" xfId="18619"/>
    <cellStyle name="표준 2 2 10 3 3 4" xfId="16181"/>
    <cellStyle name="표준 2 2 10 3 4" xfId="8819"/>
    <cellStyle name="표준 2 2 10 3 4 2" xfId="20067"/>
    <cellStyle name="표준 2 2 10 3 5" xfId="6381"/>
    <cellStyle name="표준 2 2 10 3 5 2" xfId="17629"/>
    <cellStyle name="표준 2 2 10 3 6" xfId="10992"/>
    <cellStyle name="표준 2 2 10 3 6 2" xfId="22239"/>
    <cellStyle name="표준 2 2 10 3 7" xfId="3940"/>
    <cellStyle name="표준 2 2 10 3 7 2" xfId="15191"/>
    <cellStyle name="표준 2 2 10 3 8" xfId="2451"/>
    <cellStyle name="표준 2 2 10 3 8 2" xfId="13840"/>
    <cellStyle name="표준 2 2 10 3 9" xfId="12380"/>
    <cellStyle name="표준 2 2 10 4" xfId="1193"/>
    <cellStyle name="표준 2 2 10 4 2" xfId="5158"/>
    <cellStyle name="표준 2 2 10 4 2 2" xfId="10035"/>
    <cellStyle name="표준 2 2 10 4 2 2 2" xfId="21283"/>
    <cellStyle name="표준 2 2 10 4 2 3" xfId="7597"/>
    <cellStyle name="표준 2 2 10 4 2 3 2" xfId="18845"/>
    <cellStyle name="표준 2 2 10 4 2 4" xfId="16407"/>
    <cellStyle name="표준 2 2 10 4 3" xfId="9045"/>
    <cellStyle name="표준 2 2 10 4 3 2" xfId="20293"/>
    <cellStyle name="표준 2 2 10 4 4" xfId="6607"/>
    <cellStyle name="표준 2 2 10 4 4 2" xfId="17855"/>
    <cellStyle name="표준 2 2 10 4 5" xfId="4166"/>
    <cellStyle name="표준 2 2 10 4 5 2" xfId="15417"/>
    <cellStyle name="표준 2 2 10 4 6" xfId="2814"/>
    <cellStyle name="표준 2 2 10 4 6 2" xfId="14092"/>
    <cellStyle name="표준 2 2 10 4 7" xfId="12632"/>
    <cellStyle name="표준 2 2 10 5" xfId="4575"/>
    <cellStyle name="표준 2 2 10 5 2" xfId="5565"/>
    <cellStyle name="표준 2 2 10 5 2 2" xfId="10442"/>
    <cellStyle name="표준 2 2 10 5 2 2 2" xfId="21690"/>
    <cellStyle name="표준 2 2 10 5 2 3" xfId="8004"/>
    <cellStyle name="표준 2 2 10 5 2 3 2" xfId="19252"/>
    <cellStyle name="표준 2 2 10 5 2 4" xfId="16814"/>
    <cellStyle name="표준 2 2 10 5 3" xfId="9452"/>
    <cellStyle name="표준 2 2 10 5 3 2" xfId="20700"/>
    <cellStyle name="표준 2 2 10 5 4" xfId="7014"/>
    <cellStyle name="표준 2 2 10 5 4 2" xfId="18262"/>
    <cellStyle name="표준 2 2 10 5 5" xfId="15824"/>
    <cellStyle name="표준 2 2 10 6" xfId="4706"/>
    <cellStyle name="표준 2 2 10 6 2" xfId="9583"/>
    <cellStyle name="표준 2 2 10 6 2 2" xfId="20831"/>
    <cellStyle name="표준 2 2 10 6 3" xfId="7145"/>
    <cellStyle name="표준 2 2 10 6 3 2" xfId="18393"/>
    <cellStyle name="표준 2 2 10 6 4" xfId="15955"/>
    <cellStyle name="표준 2 2 10 7" xfId="5649"/>
    <cellStyle name="표준 2 2 10 7 2" xfId="10526"/>
    <cellStyle name="표준 2 2 10 7 2 2" xfId="21774"/>
    <cellStyle name="표준 2 2 10 7 3" xfId="8088"/>
    <cellStyle name="표준 2 2 10 7 3 2" xfId="19336"/>
    <cellStyle name="표준 2 2 10 7 4" xfId="16898"/>
    <cellStyle name="표준 2 2 10 8" xfId="5755"/>
    <cellStyle name="표준 2 2 10 8 2" xfId="10632"/>
    <cellStyle name="표준 2 2 10 8 2 2" xfId="21880"/>
    <cellStyle name="표준 2 2 10 8 3" xfId="8194"/>
    <cellStyle name="표준 2 2 10 8 3 2" xfId="19442"/>
    <cellStyle name="표준 2 2 10 8 4" xfId="17004"/>
    <cellStyle name="표준 2 2 10 9" xfId="5838"/>
    <cellStyle name="표준 2 2 10 9 2" xfId="10715"/>
    <cellStyle name="표준 2 2 10 9 2 2" xfId="21963"/>
    <cellStyle name="표준 2 2 10 9 3" xfId="8277"/>
    <cellStyle name="표준 2 2 10 9 3 2" xfId="19525"/>
    <cellStyle name="표준 2 2 10 9 4" xfId="17087"/>
    <cellStyle name="표준 2 2 11" xfId="380"/>
    <cellStyle name="표준 2 2 11 10" xfId="2052"/>
    <cellStyle name="표준 2 2 11 10 2" xfId="13479"/>
    <cellStyle name="표준 2 2 11 11" xfId="12019"/>
    <cellStyle name="표준 2 2 11 2" xfId="729"/>
    <cellStyle name="표준 2 2 11 2 2" xfId="1478"/>
    <cellStyle name="표준 2 2 11 2 2 2" xfId="5309"/>
    <cellStyle name="표준 2 2 11 2 2 2 2" xfId="10186"/>
    <cellStyle name="표준 2 2 11 2 2 2 2 2" xfId="21434"/>
    <cellStyle name="표준 2 2 11 2 2 2 3" xfId="7748"/>
    <cellStyle name="표준 2 2 11 2 2 2 3 2" xfId="18996"/>
    <cellStyle name="표준 2 2 11 2 2 2 4" xfId="16558"/>
    <cellStyle name="표준 2 2 11 2 2 3" xfId="9196"/>
    <cellStyle name="표준 2 2 11 2 2 3 2" xfId="20444"/>
    <cellStyle name="표준 2 2 11 2 2 4" xfId="6758"/>
    <cellStyle name="표준 2 2 11 2 2 4 2" xfId="18006"/>
    <cellStyle name="표준 2 2 11 2 2 5" xfId="4317"/>
    <cellStyle name="표준 2 2 11 2 2 5 2" xfId="15568"/>
    <cellStyle name="표준 2 2 11 2 2 6" xfId="3090"/>
    <cellStyle name="표준 2 2 11 2 2 6 2" xfId="14368"/>
    <cellStyle name="표준 2 2 11 2 2 7" xfId="12908"/>
    <cellStyle name="표준 2 2 11 2 3" xfId="4856"/>
    <cellStyle name="표준 2 2 11 2 3 2" xfId="9733"/>
    <cellStyle name="표준 2 2 11 2 3 2 2" xfId="20981"/>
    <cellStyle name="표준 2 2 11 2 3 3" xfId="7295"/>
    <cellStyle name="표준 2 2 11 2 3 3 2" xfId="18543"/>
    <cellStyle name="표준 2 2 11 2 3 4" xfId="16105"/>
    <cellStyle name="표준 2 2 11 2 4" xfId="8743"/>
    <cellStyle name="표준 2 2 11 2 4 2" xfId="19991"/>
    <cellStyle name="표준 2 2 11 2 5" xfId="6305"/>
    <cellStyle name="표준 2 2 11 2 5 2" xfId="17553"/>
    <cellStyle name="표준 2 2 11 2 6" xfId="10999"/>
    <cellStyle name="표준 2 2 11 2 6 2" xfId="22246"/>
    <cellStyle name="표준 2 2 11 2 7" xfId="3864"/>
    <cellStyle name="표준 2 2 11 2 7 2" xfId="15115"/>
    <cellStyle name="표준 2 2 11 2 8" xfId="2361"/>
    <cellStyle name="표준 2 2 11 2 8 2" xfId="13764"/>
    <cellStyle name="표준 2 2 11 2 9" xfId="12304"/>
    <cellStyle name="표준 2 2 11 3" xfId="1083"/>
    <cellStyle name="표준 2 2 11 3 2" xfId="5082"/>
    <cellStyle name="표준 2 2 11 3 2 2" xfId="9959"/>
    <cellStyle name="표준 2 2 11 3 2 2 2" xfId="21207"/>
    <cellStyle name="표준 2 2 11 3 2 3" xfId="7521"/>
    <cellStyle name="표준 2 2 11 3 2 3 2" xfId="18769"/>
    <cellStyle name="표준 2 2 11 3 2 4" xfId="16331"/>
    <cellStyle name="표준 2 2 11 3 3" xfId="8969"/>
    <cellStyle name="표준 2 2 11 3 3 2" xfId="20217"/>
    <cellStyle name="표준 2 2 11 3 4" xfId="6531"/>
    <cellStyle name="표준 2 2 11 3 4 2" xfId="17779"/>
    <cellStyle name="표준 2 2 11 3 5" xfId="4090"/>
    <cellStyle name="표준 2 2 11 3 5 2" xfId="15341"/>
    <cellStyle name="표준 2 2 11 3 6" xfId="2704"/>
    <cellStyle name="표준 2 2 11 3 6 2" xfId="13982"/>
    <cellStyle name="표준 2 2 11 3 7" xfId="12522"/>
    <cellStyle name="표준 2 2 11 4" xfId="4630"/>
    <cellStyle name="표준 2 2 11 4 2" xfId="9507"/>
    <cellStyle name="표준 2 2 11 4 2 2" xfId="20755"/>
    <cellStyle name="표준 2 2 11 4 3" xfId="7069"/>
    <cellStyle name="표준 2 2 11 4 3 2" xfId="18317"/>
    <cellStyle name="표준 2 2 11 4 4" xfId="15879"/>
    <cellStyle name="표준 2 2 11 5" xfId="3565"/>
    <cellStyle name="표준 2 2 11 5 2" xfId="8464"/>
    <cellStyle name="표준 2 2 11 5 2 2" xfId="19712"/>
    <cellStyle name="표준 2 2 11 5 3" xfId="6026"/>
    <cellStyle name="표준 2 2 11 5 3 2" xfId="17274"/>
    <cellStyle name="표준 2 2 11 5 4" xfId="14836"/>
    <cellStyle name="표준 2 2 11 6" xfId="8368"/>
    <cellStyle name="표준 2 2 11 6 2" xfId="19616"/>
    <cellStyle name="표준 2 2 11 7" xfId="5930"/>
    <cellStyle name="표준 2 2 11 7 2" xfId="17178"/>
    <cellStyle name="표준 2 2 11 8" xfId="10814"/>
    <cellStyle name="표준 2 2 11 8 2" xfId="22062"/>
    <cellStyle name="표준 2 2 11 9" xfId="3468"/>
    <cellStyle name="표준 2 2 11 9 2" xfId="14740"/>
    <cellStyle name="표준 2 2 12" xfId="316"/>
    <cellStyle name="표준 2 2 12 10" xfId="1988"/>
    <cellStyle name="표준 2 2 12 10 2" xfId="13415"/>
    <cellStyle name="표준 2 2 12 11" xfId="11955"/>
    <cellStyle name="표준 2 2 12 2" xfId="1690"/>
    <cellStyle name="표준 2 2 12 2 2" xfId="4401"/>
    <cellStyle name="표준 2 2 12 2 2 2" xfId="5393"/>
    <cellStyle name="표준 2 2 12 2 2 2 2" xfId="10270"/>
    <cellStyle name="표준 2 2 12 2 2 2 2 2" xfId="21518"/>
    <cellStyle name="표준 2 2 12 2 2 2 3" xfId="7832"/>
    <cellStyle name="표준 2 2 12 2 2 2 3 2" xfId="19080"/>
    <cellStyle name="표준 2 2 12 2 2 2 4" xfId="16642"/>
    <cellStyle name="표준 2 2 12 2 2 3" xfId="9280"/>
    <cellStyle name="표준 2 2 12 2 2 3 2" xfId="20528"/>
    <cellStyle name="표준 2 2 12 2 2 4" xfId="6842"/>
    <cellStyle name="표준 2 2 12 2 2 4 2" xfId="18090"/>
    <cellStyle name="표준 2 2 12 2 2 5" xfId="15652"/>
    <cellStyle name="표준 2 2 12 2 3" xfId="4940"/>
    <cellStyle name="표준 2 2 12 2 3 2" xfId="9817"/>
    <cellStyle name="표준 2 2 12 2 3 2 2" xfId="21065"/>
    <cellStyle name="표준 2 2 12 2 3 3" xfId="7379"/>
    <cellStyle name="표준 2 2 12 2 3 3 2" xfId="18627"/>
    <cellStyle name="표준 2 2 12 2 3 4" xfId="16189"/>
    <cellStyle name="표준 2 2 12 2 4" xfId="8827"/>
    <cellStyle name="표준 2 2 12 2 4 2" xfId="20075"/>
    <cellStyle name="표준 2 2 12 2 5" xfId="6389"/>
    <cellStyle name="표준 2 2 12 2 5 2" xfId="17637"/>
    <cellStyle name="표준 2 2 12 2 6" xfId="11081"/>
    <cellStyle name="표준 2 2 12 2 6 2" xfId="22328"/>
    <cellStyle name="표준 2 2 12 2 7" xfId="3948"/>
    <cellStyle name="표준 2 2 12 2 7 2" xfId="15199"/>
    <cellStyle name="표준 2 2 12 2 8" xfId="3302"/>
    <cellStyle name="표준 2 2 12 2 8 2" xfId="14580"/>
    <cellStyle name="표준 2 2 12 2 9" xfId="13120"/>
    <cellStyle name="표준 2 2 12 3" xfId="1305"/>
    <cellStyle name="표준 2 2 12 3 2" xfId="5166"/>
    <cellStyle name="표준 2 2 12 3 2 2" xfId="10043"/>
    <cellStyle name="표준 2 2 12 3 2 2 2" xfId="21291"/>
    <cellStyle name="표준 2 2 12 3 2 3" xfId="7605"/>
    <cellStyle name="표준 2 2 12 3 2 3 2" xfId="18853"/>
    <cellStyle name="표준 2 2 12 3 2 4" xfId="16415"/>
    <cellStyle name="표준 2 2 12 3 3" xfId="9053"/>
    <cellStyle name="표준 2 2 12 3 3 2" xfId="20301"/>
    <cellStyle name="표준 2 2 12 3 4" xfId="6615"/>
    <cellStyle name="표준 2 2 12 3 4 2" xfId="17863"/>
    <cellStyle name="표준 2 2 12 3 5" xfId="4174"/>
    <cellStyle name="표준 2 2 12 3 5 2" xfId="15425"/>
    <cellStyle name="표준 2 2 12 3 6" xfId="2926"/>
    <cellStyle name="표준 2 2 12 3 6 2" xfId="14204"/>
    <cellStyle name="표준 2 2 12 3 7" xfId="12744"/>
    <cellStyle name="표준 2 2 12 4" xfId="4714"/>
    <cellStyle name="표준 2 2 12 4 2" xfId="9591"/>
    <cellStyle name="표준 2 2 12 4 2 2" xfId="20839"/>
    <cellStyle name="표준 2 2 12 4 3" xfId="7153"/>
    <cellStyle name="표준 2 2 12 4 3 2" xfId="18401"/>
    <cellStyle name="표준 2 2 12 4 4" xfId="15963"/>
    <cellStyle name="표준 2 2 12 5" xfId="3722"/>
    <cellStyle name="표준 2 2 12 5 2" xfId="8601"/>
    <cellStyle name="표준 2 2 12 5 2 2" xfId="19849"/>
    <cellStyle name="표준 2 2 12 5 3" xfId="6163"/>
    <cellStyle name="표준 2 2 12 5 3 2" xfId="17411"/>
    <cellStyle name="표준 2 2 12 5 4" xfId="14973"/>
    <cellStyle name="표준 2 2 12 6" xfId="8450"/>
    <cellStyle name="표준 2 2 12 6 2" xfId="19698"/>
    <cellStyle name="표준 2 2 12 7" xfId="6012"/>
    <cellStyle name="표준 2 2 12 7 2" xfId="17260"/>
    <cellStyle name="표준 2 2 12 8" xfId="10896"/>
    <cellStyle name="표준 2 2 12 8 2" xfId="22144"/>
    <cellStyle name="표준 2 2 12 9" xfId="3551"/>
    <cellStyle name="표준 2 2 12 9 2" xfId="14822"/>
    <cellStyle name="표준 2 2 13" xfId="609"/>
    <cellStyle name="표준 2 2 13 2" xfId="1394"/>
    <cellStyle name="표준 2 2 13 2 2" xfId="5260"/>
    <cellStyle name="표준 2 2 13 2 2 2" xfId="10137"/>
    <cellStyle name="표준 2 2 13 2 2 2 2" xfId="21385"/>
    <cellStyle name="표준 2 2 13 2 2 3" xfId="7699"/>
    <cellStyle name="표준 2 2 13 2 2 3 2" xfId="18947"/>
    <cellStyle name="표준 2 2 13 2 2 4" xfId="16509"/>
    <cellStyle name="표준 2 2 13 2 3" xfId="9147"/>
    <cellStyle name="표준 2 2 13 2 3 2" xfId="20395"/>
    <cellStyle name="표준 2 2 13 2 4" xfId="6709"/>
    <cellStyle name="표준 2 2 13 2 4 2" xfId="17957"/>
    <cellStyle name="표준 2 2 13 2 5" xfId="10916"/>
    <cellStyle name="표준 2 2 13 2 5 2" xfId="22163"/>
    <cellStyle name="표준 2 2 13 2 6" xfId="4268"/>
    <cellStyle name="표준 2 2 13 2 6 2" xfId="15519"/>
    <cellStyle name="표준 2 2 13 2 7" xfId="3009"/>
    <cellStyle name="표준 2 2 13 2 7 2" xfId="14287"/>
    <cellStyle name="표준 2 2 13 2 8" xfId="12827"/>
    <cellStyle name="표준 2 2 13 3" xfId="4807"/>
    <cellStyle name="표준 2 2 13 3 2" xfId="9684"/>
    <cellStyle name="표준 2 2 13 3 2 2" xfId="20932"/>
    <cellStyle name="표준 2 2 13 3 3" xfId="7246"/>
    <cellStyle name="표준 2 2 13 3 3 2" xfId="18494"/>
    <cellStyle name="표준 2 2 13 3 4" xfId="16056"/>
    <cellStyle name="표준 2 2 13 4" xfId="8694"/>
    <cellStyle name="표준 2 2 13 4 2" xfId="19942"/>
    <cellStyle name="표준 2 2 13 5" xfId="6256"/>
    <cellStyle name="표준 2 2 13 5 2" xfId="17504"/>
    <cellStyle name="표준 2 2 13 6" xfId="10731"/>
    <cellStyle name="표준 2 2 13 6 2" xfId="21979"/>
    <cellStyle name="표준 2 2 13 7" xfId="3815"/>
    <cellStyle name="표준 2 2 13 7 2" xfId="15066"/>
    <cellStyle name="표준 2 2 13 8" xfId="2281"/>
    <cellStyle name="표준 2 2 13 8 2" xfId="13700"/>
    <cellStyle name="표준 2 2 13 9" xfId="12240"/>
    <cellStyle name="표준 2 2 14" xfId="1019"/>
    <cellStyle name="표준 2 2 14 2" xfId="5033"/>
    <cellStyle name="표준 2 2 14 2 2" xfId="9910"/>
    <cellStyle name="표준 2 2 14 2 2 2" xfId="21158"/>
    <cellStyle name="표준 2 2 14 2 3" xfId="7472"/>
    <cellStyle name="표준 2 2 14 2 3 2" xfId="18720"/>
    <cellStyle name="표준 2 2 14 2 4" xfId="16282"/>
    <cellStyle name="표준 2 2 14 3" xfId="8920"/>
    <cellStyle name="표준 2 2 14 3 2" xfId="20168"/>
    <cellStyle name="표준 2 2 14 4" xfId="6482"/>
    <cellStyle name="표준 2 2 14 4 2" xfId="17730"/>
    <cellStyle name="표준 2 2 14 5" xfId="10907"/>
    <cellStyle name="표준 2 2 14 5 2" xfId="22154"/>
    <cellStyle name="표준 2 2 14 6" xfId="4041"/>
    <cellStyle name="표준 2 2 14 6 2" xfId="15292"/>
    <cellStyle name="표준 2 2 14 7" xfId="2640"/>
    <cellStyle name="표준 2 2 14 7 2" xfId="13918"/>
    <cellStyle name="표준 2 2 14 8" xfId="12458"/>
    <cellStyle name="표준 2 2 15" xfId="943"/>
    <cellStyle name="표준 2 2 15 2" xfId="5489"/>
    <cellStyle name="표준 2 2 15 2 2" xfId="10366"/>
    <cellStyle name="표준 2 2 15 2 2 2" xfId="21614"/>
    <cellStyle name="표준 2 2 15 2 3" xfId="7928"/>
    <cellStyle name="표준 2 2 15 2 3 2" xfId="19176"/>
    <cellStyle name="표준 2 2 15 2 4" xfId="16738"/>
    <cellStyle name="표준 2 2 15 3" xfId="9376"/>
    <cellStyle name="표준 2 2 15 3 2" xfId="20624"/>
    <cellStyle name="표준 2 2 15 4" xfId="6938"/>
    <cellStyle name="표준 2 2 15 4 2" xfId="18186"/>
    <cellStyle name="표준 2 2 15 5" xfId="4499"/>
    <cellStyle name="표준 2 2 15 5 2" xfId="15748"/>
    <cellStyle name="표준 2 2 15 6" xfId="2566"/>
    <cellStyle name="표준 2 2 15 6 2" xfId="13844"/>
    <cellStyle name="표준 2 2 15 7" xfId="12384"/>
    <cellStyle name="표준 2 2 16" xfId="4581"/>
    <cellStyle name="표준 2 2 16 2" xfId="9458"/>
    <cellStyle name="표준 2 2 16 2 2" xfId="20706"/>
    <cellStyle name="표준 2 2 16 3" xfId="7020"/>
    <cellStyle name="표준 2 2 16 3 2" xfId="18268"/>
    <cellStyle name="표준 2 2 16 4" xfId="15830"/>
    <cellStyle name="표준 2 2 17" xfId="5573"/>
    <cellStyle name="표준 2 2 17 2" xfId="10450"/>
    <cellStyle name="표준 2 2 17 2 2" xfId="21698"/>
    <cellStyle name="표준 2 2 17 3" xfId="8012"/>
    <cellStyle name="표준 2 2 17 3 2" xfId="19260"/>
    <cellStyle name="표준 2 2 17 4" xfId="16822"/>
    <cellStyle name="표준 2 2 18" xfId="5656"/>
    <cellStyle name="표준 2 2 18 2" xfId="10533"/>
    <cellStyle name="표준 2 2 18 2 2" xfId="21781"/>
    <cellStyle name="표준 2 2 18 3" xfId="8095"/>
    <cellStyle name="표준 2 2 18 3 2" xfId="19343"/>
    <cellStyle name="표준 2 2 18 4" xfId="16905"/>
    <cellStyle name="표준 2 2 19" xfId="5679"/>
    <cellStyle name="표준 2 2 19 2" xfId="10556"/>
    <cellStyle name="표준 2 2 19 2 2" xfId="21804"/>
    <cellStyle name="표준 2 2 19 3" xfId="8118"/>
    <cellStyle name="표준 2 2 19 3 2" xfId="19366"/>
    <cellStyle name="표준 2 2 19 4" xfId="16928"/>
    <cellStyle name="표준 2 2 2" xfId="54"/>
    <cellStyle name="표준 2 2 2 10" xfId="1023"/>
    <cellStyle name="표준 2 2 2 10 2" xfId="5501"/>
    <cellStyle name="표준 2 2 2 10 2 2" xfId="10378"/>
    <cellStyle name="표준 2 2 2 10 2 2 2" xfId="21626"/>
    <cellStyle name="표준 2 2 2 10 2 3" xfId="7940"/>
    <cellStyle name="표준 2 2 2 10 2 3 2" xfId="19188"/>
    <cellStyle name="표준 2 2 2 10 2 4" xfId="16750"/>
    <cellStyle name="표준 2 2 2 10 3" xfId="9388"/>
    <cellStyle name="표준 2 2 2 10 3 2" xfId="20636"/>
    <cellStyle name="표준 2 2 2 10 4" xfId="6950"/>
    <cellStyle name="표준 2 2 2 10 4 2" xfId="18198"/>
    <cellStyle name="표준 2 2 2 10 5" xfId="4511"/>
    <cellStyle name="표준 2 2 2 10 5 2" xfId="15760"/>
    <cellStyle name="표준 2 2 2 10 6" xfId="2644"/>
    <cellStyle name="표준 2 2 2 10 6 2" xfId="13922"/>
    <cellStyle name="표준 2 2 2 10 7" xfId="12462"/>
    <cellStyle name="표준 2 2 2 11" xfId="947"/>
    <cellStyle name="표준 2 2 2 11 2" xfId="9463"/>
    <cellStyle name="표준 2 2 2 11 2 2" xfId="20711"/>
    <cellStyle name="표준 2 2 2 11 3" xfId="7025"/>
    <cellStyle name="표준 2 2 2 11 3 2" xfId="18273"/>
    <cellStyle name="표준 2 2 2 11 4" xfId="4586"/>
    <cellStyle name="표준 2 2 2 11 4 2" xfId="15835"/>
    <cellStyle name="표준 2 2 2 11 5" xfId="2569"/>
    <cellStyle name="표준 2 2 2 11 5 2" xfId="13847"/>
    <cellStyle name="표준 2 2 2 11 6" xfId="12387"/>
    <cellStyle name="표준 2 2 2 12" xfId="5585"/>
    <cellStyle name="표준 2 2 2 12 2" xfId="10462"/>
    <cellStyle name="표준 2 2 2 12 2 2" xfId="21710"/>
    <cellStyle name="표준 2 2 2 12 3" xfId="8024"/>
    <cellStyle name="표준 2 2 2 12 3 2" xfId="19272"/>
    <cellStyle name="표준 2 2 2 12 4" xfId="16834"/>
    <cellStyle name="표준 2 2 2 13" xfId="5663"/>
    <cellStyle name="표준 2 2 2 13 2" xfId="10540"/>
    <cellStyle name="표준 2 2 2 13 2 2" xfId="21788"/>
    <cellStyle name="표준 2 2 2 13 3" xfId="8102"/>
    <cellStyle name="표준 2 2 2 13 3 2" xfId="19350"/>
    <cellStyle name="표준 2 2 2 13 4" xfId="16912"/>
    <cellStyle name="표준 2 2 2 14" xfId="5691"/>
    <cellStyle name="표준 2 2 2 14 2" xfId="10568"/>
    <cellStyle name="표준 2 2 2 14 2 2" xfId="21816"/>
    <cellStyle name="표준 2 2 2 14 3" xfId="8130"/>
    <cellStyle name="표준 2 2 2 14 3 2" xfId="19378"/>
    <cellStyle name="표준 2 2 2 14 4" xfId="16940"/>
    <cellStyle name="표준 2 2 2 15" xfId="5774"/>
    <cellStyle name="표준 2 2 2 15 2" xfId="10651"/>
    <cellStyle name="표준 2 2 2 15 2 2" xfId="21899"/>
    <cellStyle name="표준 2 2 2 15 3" xfId="8213"/>
    <cellStyle name="표준 2 2 2 15 3 2" xfId="19461"/>
    <cellStyle name="표준 2 2 2 15 4" xfId="17023"/>
    <cellStyle name="표준 2 2 2 16" xfId="3577"/>
    <cellStyle name="표준 2 2 2 16 2" xfId="8476"/>
    <cellStyle name="표준 2 2 2 16 2 2" xfId="19724"/>
    <cellStyle name="표준 2 2 2 16 3" xfId="6038"/>
    <cellStyle name="표준 2 2 2 16 3 2" xfId="17286"/>
    <cellStyle name="표준 2 2 2 16 4" xfId="14848"/>
    <cellStyle name="표준 2 2 2 17" xfId="8297"/>
    <cellStyle name="표준 2 2 2 17 2" xfId="19545"/>
    <cellStyle name="표준 2 2 2 18" xfId="5859"/>
    <cellStyle name="표준 2 2 2 18 2" xfId="17107"/>
    <cellStyle name="표준 2 2 2 19" xfId="10726"/>
    <cellStyle name="표준 2 2 2 19 2" xfId="21974"/>
    <cellStyle name="표준 2 2 2 2" xfId="66"/>
    <cellStyle name="표준 2 2 2 2 10" xfId="5692"/>
    <cellStyle name="표준 2 2 2 2 10 2" xfId="10569"/>
    <cellStyle name="표준 2 2 2 2 10 2 2" xfId="21817"/>
    <cellStyle name="표준 2 2 2 2 10 3" xfId="8131"/>
    <cellStyle name="표준 2 2 2 2 10 3 2" xfId="19379"/>
    <cellStyle name="표준 2 2 2 2 10 4" xfId="16941"/>
    <cellStyle name="표준 2 2 2 2 11" xfId="5775"/>
    <cellStyle name="표준 2 2 2 2 11 2" xfId="10652"/>
    <cellStyle name="표준 2 2 2 2 11 2 2" xfId="21900"/>
    <cellStyle name="표준 2 2 2 2 11 3" xfId="8214"/>
    <cellStyle name="표준 2 2 2 2 11 3 2" xfId="19462"/>
    <cellStyle name="표준 2 2 2 2 11 4" xfId="17024"/>
    <cellStyle name="표준 2 2 2 2 12" xfId="3578"/>
    <cellStyle name="표준 2 2 2 2 12 2" xfId="8477"/>
    <cellStyle name="표준 2 2 2 2 12 2 2" xfId="19725"/>
    <cellStyle name="표준 2 2 2 2 12 3" xfId="6039"/>
    <cellStyle name="표준 2 2 2 2 12 3 2" xfId="17287"/>
    <cellStyle name="표준 2 2 2 2 12 4" xfId="14849"/>
    <cellStyle name="표준 2 2 2 2 13" xfId="8298"/>
    <cellStyle name="표준 2 2 2 2 13 2" xfId="19546"/>
    <cellStyle name="표준 2 2 2 2 14" xfId="5860"/>
    <cellStyle name="표준 2 2 2 2 14 2" xfId="17108"/>
    <cellStyle name="표준 2 2 2 2 15" xfId="10744"/>
    <cellStyle name="표준 2 2 2 2 15 2" xfId="21992"/>
    <cellStyle name="표준 2 2 2 2 16" xfId="3392"/>
    <cellStyle name="표준 2 2 2 2 16 2" xfId="14670"/>
    <cellStyle name="표준 2 2 2 2 17" xfId="1782"/>
    <cellStyle name="표준 2 2 2 2 17 2" xfId="13211"/>
    <cellStyle name="표준 2 2 2 2 18" xfId="11751"/>
    <cellStyle name="표준 2 2 2 2 2" xfId="85"/>
    <cellStyle name="표준 2 2 2 2 2 10" xfId="3481"/>
    <cellStyle name="표준 2 2 2 2 2 10 2" xfId="14753"/>
    <cellStyle name="표준 2 2 2 2 2 11" xfId="1801"/>
    <cellStyle name="표준 2 2 2 2 2 11 2" xfId="13230"/>
    <cellStyle name="표준 2 2 2 2 2 12" xfId="11770"/>
    <cellStyle name="표준 2 2 2 2 2 2" xfId="241"/>
    <cellStyle name="표준 2 2 2 2 2 2 10" xfId="11880"/>
    <cellStyle name="표준 2 2 2 2 2 2 2" xfId="525"/>
    <cellStyle name="표준 2 2 2 2 2 2 2 2" xfId="1613"/>
    <cellStyle name="표준 2 2 2 2 2 2 2 2 2" xfId="5476"/>
    <cellStyle name="표준 2 2 2 2 2 2 2 2 2 2" xfId="10353"/>
    <cellStyle name="표준 2 2 2 2 2 2 2 2 2 2 2" xfId="21601"/>
    <cellStyle name="표준 2 2 2 2 2 2 2 2 2 3" xfId="7915"/>
    <cellStyle name="표준 2 2 2 2 2 2 2 2 2 3 2" xfId="19163"/>
    <cellStyle name="표준 2 2 2 2 2 2 2 2 2 4" xfId="16725"/>
    <cellStyle name="표준 2 2 2 2 2 2 2 2 3" xfId="9363"/>
    <cellStyle name="표준 2 2 2 2 2 2 2 2 3 2" xfId="20611"/>
    <cellStyle name="표준 2 2 2 2 2 2 2 2 4" xfId="6925"/>
    <cellStyle name="표준 2 2 2 2 2 2 2 2 4 2" xfId="18173"/>
    <cellStyle name="표준 2 2 2 2 2 2 2 2 5" xfId="4484"/>
    <cellStyle name="표준 2 2 2 2 2 2 2 2 5 2" xfId="15735"/>
    <cellStyle name="표준 2 2 2 2 2 2 2 2 6" xfId="3225"/>
    <cellStyle name="표준 2 2 2 2 2 2 2 2 6 2" xfId="14503"/>
    <cellStyle name="표준 2 2 2 2 2 2 2 2 7" xfId="13043"/>
    <cellStyle name="표준 2 2 2 2 2 2 2 3" xfId="5023"/>
    <cellStyle name="표준 2 2 2 2 2 2 2 3 2" xfId="9900"/>
    <cellStyle name="표준 2 2 2 2 2 2 2 3 2 2" xfId="21148"/>
    <cellStyle name="표준 2 2 2 2 2 2 2 3 3" xfId="7462"/>
    <cellStyle name="표준 2 2 2 2 2 2 2 3 3 2" xfId="18710"/>
    <cellStyle name="표준 2 2 2 2 2 2 2 3 4" xfId="16272"/>
    <cellStyle name="표준 2 2 2 2 2 2 2 4" xfId="8910"/>
    <cellStyle name="표준 2 2 2 2 2 2 2 4 2" xfId="20158"/>
    <cellStyle name="표준 2 2 2 2 2 2 2 5" xfId="6472"/>
    <cellStyle name="표준 2 2 2 2 2 2 2 5 2" xfId="17720"/>
    <cellStyle name="표준 2 2 2 2 2 2 2 6" xfId="4031"/>
    <cellStyle name="표준 2 2 2 2 2 2 2 6 2" xfId="15282"/>
    <cellStyle name="표준 2 2 2 2 2 2 2 7" xfId="2197"/>
    <cellStyle name="표준 2 2 2 2 2 2 2 7 2" xfId="13624"/>
    <cellStyle name="표준 2 2 2 2 2 2 2 8" xfId="12164"/>
    <cellStyle name="표준 2 2 2 2 2 2 3" xfId="1228"/>
    <cellStyle name="표준 2 2 2 2 2 2 3 2" xfId="5249"/>
    <cellStyle name="표준 2 2 2 2 2 2 3 2 2" xfId="10126"/>
    <cellStyle name="표준 2 2 2 2 2 2 3 2 2 2" xfId="21374"/>
    <cellStyle name="표준 2 2 2 2 2 2 3 2 3" xfId="7688"/>
    <cellStyle name="표준 2 2 2 2 2 2 3 2 3 2" xfId="18936"/>
    <cellStyle name="표준 2 2 2 2 2 2 3 2 4" xfId="16498"/>
    <cellStyle name="표준 2 2 2 2 2 2 3 3" xfId="9136"/>
    <cellStyle name="표준 2 2 2 2 2 2 3 3 2" xfId="20384"/>
    <cellStyle name="표준 2 2 2 2 2 2 3 4" xfId="6698"/>
    <cellStyle name="표준 2 2 2 2 2 2 3 4 2" xfId="17946"/>
    <cellStyle name="표준 2 2 2 2 2 2 3 5" xfId="4257"/>
    <cellStyle name="표준 2 2 2 2 2 2 3 5 2" xfId="15508"/>
    <cellStyle name="표준 2 2 2 2 2 2 3 6" xfId="2849"/>
    <cellStyle name="표준 2 2 2 2 2 2 3 6 2" xfId="14127"/>
    <cellStyle name="표준 2 2 2 2 2 2 3 7" xfId="12667"/>
    <cellStyle name="표준 2 2 2 2 2 2 4" xfId="4797"/>
    <cellStyle name="표준 2 2 2 2 2 2 4 2" xfId="9674"/>
    <cellStyle name="표준 2 2 2 2 2 2 4 2 2" xfId="20922"/>
    <cellStyle name="표준 2 2 2 2 2 2 4 3" xfId="7236"/>
    <cellStyle name="표준 2 2 2 2 2 2 4 3 2" xfId="18484"/>
    <cellStyle name="표준 2 2 2 2 2 2 4 4" xfId="16046"/>
    <cellStyle name="표준 2 2 2 2 2 2 5" xfId="8684"/>
    <cellStyle name="표준 2 2 2 2 2 2 5 2" xfId="19932"/>
    <cellStyle name="표준 2 2 2 2 2 2 6" xfId="6246"/>
    <cellStyle name="표준 2 2 2 2 2 2 6 2" xfId="17494"/>
    <cellStyle name="표준 2 2 2 2 2 2 7" xfId="11012"/>
    <cellStyle name="표준 2 2 2 2 2 2 7 2" xfId="22259"/>
    <cellStyle name="표준 2 2 2 2 2 2 8" xfId="3805"/>
    <cellStyle name="표준 2 2 2 2 2 2 8 2" xfId="15056"/>
    <cellStyle name="표준 2 2 2 2 2 2 9" xfId="1913"/>
    <cellStyle name="표준 2 2 2 2 2 2 9 2" xfId="13340"/>
    <cellStyle name="표준 2 2 2 2 2 3" xfId="415"/>
    <cellStyle name="표준 2 2 2 2 2 3 2" xfId="1513"/>
    <cellStyle name="표준 2 2 2 2 2 3 2 2" xfId="5297"/>
    <cellStyle name="표준 2 2 2 2 2 3 2 2 2" xfId="10174"/>
    <cellStyle name="표준 2 2 2 2 2 3 2 2 2 2" xfId="21422"/>
    <cellStyle name="표준 2 2 2 2 2 3 2 2 3" xfId="7736"/>
    <cellStyle name="표준 2 2 2 2 2 3 2 2 3 2" xfId="18984"/>
    <cellStyle name="표준 2 2 2 2 2 3 2 2 4" xfId="16546"/>
    <cellStyle name="표준 2 2 2 2 2 3 2 3" xfId="9184"/>
    <cellStyle name="표준 2 2 2 2 2 3 2 3 2" xfId="20432"/>
    <cellStyle name="표준 2 2 2 2 2 3 2 4" xfId="6746"/>
    <cellStyle name="표준 2 2 2 2 2 3 2 4 2" xfId="17994"/>
    <cellStyle name="표준 2 2 2 2 2 3 2 5" xfId="4305"/>
    <cellStyle name="표준 2 2 2 2 2 3 2 5 2" xfId="15556"/>
    <cellStyle name="표준 2 2 2 2 2 3 2 6" xfId="3125"/>
    <cellStyle name="표준 2 2 2 2 2 3 2 6 2" xfId="14403"/>
    <cellStyle name="표준 2 2 2 2 2 3 2 7" xfId="12943"/>
    <cellStyle name="표준 2 2 2 2 2 3 3" xfId="4844"/>
    <cellStyle name="표준 2 2 2 2 2 3 3 2" xfId="9721"/>
    <cellStyle name="표준 2 2 2 2 2 3 3 2 2" xfId="20969"/>
    <cellStyle name="표준 2 2 2 2 2 3 3 3" xfId="7283"/>
    <cellStyle name="표준 2 2 2 2 2 3 3 3 2" xfId="18531"/>
    <cellStyle name="표준 2 2 2 2 2 3 3 4" xfId="16093"/>
    <cellStyle name="표준 2 2 2 2 2 3 4" xfId="8731"/>
    <cellStyle name="표준 2 2 2 2 2 3 4 2" xfId="19979"/>
    <cellStyle name="표준 2 2 2 2 2 3 5" xfId="6293"/>
    <cellStyle name="표준 2 2 2 2 2 3 5 2" xfId="17541"/>
    <cellStyle name="표준 2 2 2 2 2 3 6" xfId="3852"/>
    <cellStyle name="표준 2 2 2 2 2 3 6 2" xfId="15103"/>
    <cellStyle name="표준 2 2 2 2 2 3 7" xfId="2087"/>
    <cellStyle name="표준 2 2 2 2 2 3 7 2" xfId="13514"/>
    <cellStyle name="표준 2 2 2 2 2 3 8" xfId="12054"/>
    <cellStyle name="표준 2 2 2 2 2 4" xfId="698"/>
    <cellStyle name="표준 2 2 2 2 2 4 2" xfId="5070"/>
    <cellStyle name="표준 2 2 2 2 2 4 2 2" xfId="9947"/>
    <cellStyle name="표준 2 2 2 2 2 4 2 2 2" xfId="21195"/>
    <cellStyle name="표준 2 2 2 2 2 4 2 3" xfId="7509"/>
    <cellStyle name="표준 2 2 2 2 2 4 2 3 2" xfId="18757"/>
    <cellStyle name="표준 2 2 2 2 2 4 2 4" xfId="16319"/>
    <cellStyle name="표준 2 2 2 2 2 4 3" xfId="8957"/>
    <cellStyle name="표준 2 2 2 2 2 4 3 2" xfId="20205"/>
    <cellStyle name="표준 2 2 2 2 2 4 4" xfId="6519"/>
    <cellStyle name="표준 2 2 2 2 2 4 4 2" xfId="17767"/>
    <cellStyle name="표준 2 2 2 2 2 4 5" xfId="4078"/>
    <cellStyle name="표준 2 2 2 2 2 4 5 2" xfId="15329"/>
    <cellStyle name="표준 2 2 2 2 2 4 6" xfId="2330"/>
    <cellStyle name="표준 2 2 2 2 2 4 6 2" xfId="13743"/>
    <cellStyle name="표준 2 2 2 2 2 4 7" xfId="12283"/>
    <cellStyle name="표준 2 2 2 2 2 5" xfId="1118"/>
    <cellStyle name="표준 2 2 2 2 2 5 2" xfId="9495"/>
    <cellStyle name="표준 2 2 2 2 2 5 2 2" xfId="20743"/>
    <cellStyle name="표준 2 2 2 2 2 5 3" xfId="7057"/>
    <cellStyle name="표준 2 2 2 2 2 5 3 2" xfId="18305"/>
    <cellStyle name="표준 2 2 2 2 2 5 4" xfId="4618"/>
    <cellStyle name="표준 2 2 2 2 2 5 4 2" xfId="15867"/>
    <cellStyle name="표준 2 2 2 2 2 5 5" xfId="2739"/>
    <cellStyle name="표준 2 2 2 2 2 5 5 2" xfId="14017"/>
    <cellStyle name="표준 2 2 2 2 2 5 6" xfId="12557"/>
    <cellStyle name="표준 2 2 2 2 2 6" xfId="3653"/>
    <cellStyle name="표준 2 2 2 2 2 6 2" xfId="8550"/>
    <cellStyle name="표준 2 2 2 2 2 6 2 2" xfId="19798"/>
    <cellStyle name="표준 2 2 2 2 2 6 3" xfId="6112"/>
    <cellStyle name="표준 2 2 2 2 2 6 3 2" xfId="17360"/>
    <cellStyle name="표준 2 2 2 2 2 6 4" xfId="14922"/>
    <cellStyle name="표준 2 2 2 2 2 7" xfId="8381"/>
    <cellStyle name="표준 2 2 2 2 2 7 2" xfId="19629"/>
    <cellStyle name="표준 2 2 2 2 2 8" xfId="5943"/>
    <cellStyle name="표준 2 2 2 2 2 8 2" xfId="17191"/>
    <cellStyle name="표준 2 2 2 2 2 9" xfId="10827"/>
    <cellStyle name="표준 2 2 2 2 2 9 2" xfId="22075"/>
    <cellStyle name="표준 2 2 2 2 3" xfId="107"/>
    <cellStyle name="표준 2 2 2 2 3 10" xfId="11792"/>
    <cellStyle name="표준 2 2 2 2 3 2" xfId="263"/>
    <cellStyle name="표준 2 2 2 2 3 2 2" xfId="547"/>
    <cellStyle name="표준 2 2 2 2 3 2 2 2" xfId="1635"/>
    <cellStyle name="표준 2 2 2 2 3 2 2 2 2" xfId="10199"/>
    <cellStyle name="표준 2 2 2 2 3 2 2 2 2 2" xfId="21447"/>
    <cellStyle name="표준 2 2 2 2 3 2 2 2 3" xfId="7761"/>
    <cellStyle name="표준 2 2 2 2 3 2 2 2 3 2" xfId="19009"/>
    <cellStyle name="표준 2 2 2 2 3 2 2 2 4" xfId="5322"/>
    <cellStyle name="표준 2 2 2 2 3 2 2 2 4 2" xfId="16571"/>
    <cellStyle name="표준 2 2 2 2 3 2 2 2 5" xfId="3247"/>
    <cellStyle name="표준 2 2 2 2 3 2 2 2 5 2" xfId="14525"/>
    <cellStyle name="표준 2 2 2 2 3 2 2 2 6" xfId="13065"/>
    <cellStyle name="표준 2 2 2 2 3 2 2 3" xfId="9209"/>
    <cellStyle name="표준 2 2 2 2 3 2 2 3 2" xfId="20457"/>
    <cellStyle name="표준 2 2 2 2 3 2 2 4" xfId="6771"/>
    <cellStyle name="표준 2 2 2 2 3 2 2 4 2" xfId="18019"/>
    <cellStyle name="표준 2 2 2 2 3 2 2 5" xfId="4330"/>
    <cellStyle name="표준 2 2 2 2 3 2 2 5 2" xfId="15581"/>
    <cellStyle name="표준 2 2 2 2 3 2 2 6" xfId="2219"/>
    <cellStyle name="표준 2 2 2 2 3 2 2 6 2" xfId="13646"/>
    <cellStyle name="표준 2 2 2 2 3 2 2 7" xfId="12186"/>
    <cellStyle name="표준 2 2 2 2 3 2 3" xfId="1250"/>
    <cellStyle name="표준 2 2 2 2 3 2 3 2" xfId="9746"/>
    <cellStyle name="표준 2 2 2 2 3 2 3 2 2" xfId="20994"/>
    <cellStyle name="표준 2 2 2 2 3 2 3 3" xfId="7308"/>
    <cellStyle name="표준 2 2 2 2 3 2 3 3 2" xfId="18556"/>
    <cellStyle name="표준 2 2 2 2 3 2 3 4" xfId="4869"/>
    <cellStyle name="표준 2 2 2 2 3 2 3 4 2" xfId="16118"/>
    <cellStyle name="표준 2 2 2 2 3 2 3 5" xfId="2871"/>
    <cellStyle name="표준 2 2 2 2 3 2 3 5 2" xfId="14149"/>
    <cellStyle name="표준 2 2 2 2 3 2 3 6" xfId="12689"/>
    <cellStyle name="표준 2 2 2 2 3 2 4" xfId="8756"/>
    <cellStyle name="표준 2 2 2 2 3 2 4 2" xfId="20004"/>
    <cellStyle name="표준 2 2 2 2 3 2 5" xfId="6318"/>
    <cellStyle name="표준 2 2 2 2 3 2 5 2" xfId="17566"/>
    <cellStyle name="표준 2 2 2 2 3 2 6" xfId="3877"/>
    <cellStyle name="표준 2 2 2 2 3 2 6 2" xfId="15128"/>
    <cellStyle name="표준 2 2 2 2 3 2 7" xfId="1935"/>
    <cellStyle name="표준 2 2 2 2 3 2 7 2" xfId="13362"/>
    <cellStyle name="표준 2 2 2 2 3 2 8" xfId="11902"/>
    <cellStyle name="표준 2 2 2 2 3 3" xfId="437"/>
    <cellStyle name="표준 2 2 2 2 3 3 2" xfId="1530"/>
    <cellStyle name="표준 2 2 2 2 3 3 2 2" xfId="9972"/>
    <cellStyle name="표준 2 2 2 2 3 3 2 2 2" xfId="21220"/>
    <cellStyle name="표준 2 2 2 2 3 3 2 3" xfId="7534"/>
    <cellStyle name="표준 2 2 2 2 3 3 2 3 2" xfId="18782"/>
    <cellStyle name="표준 2 2 2 2 3 3 2 4" xfId="5095"/>
    <cellStyle name="표준 2 2 2 2 3 3 2 4 2" xfId="16344"/>
    <cellStyle name="표준 2 2 2 2 3 3 2 5" xfId="3142"/>
    <cellStyle name="표준 2 2 2 2 3 3 2 5 2" xfId="14420"/>
    <cellStyle name="표준 2 2 2 2 3 3 2 6" xfId="12960"/>
    <cellStyle name="표준 2 2 2 2 3 3 3" xfId="8982"/>
    <cellStyle name="표준 2 2 2 2 3 3 3 2" xfId="20230"/>
    <cellStyle name="표준 2 2 2 2 3 3 4" xfId="6544"/>
    <cellStyle name="표준 2 2 2 2 3 3 4 2" xfId="17792"/>
    <cellStyle name="표준 2 2 2 2 3 3 5" xfId="4103"/>
    <cellStyle name="표준 2 2 2 2 3 3 5 2" xfId="15354"/>
    <cellStyle name="표준 2 2 2 2 3 3 6" xfId="2109"/>
    <cellStyle name="표준 2 2 2 2 3 3 6 2" xfId="13536"/>
    <cellStyle name="표준 2 2 2 2 3 3 7" xfId="12076"/>
    <cellStyle name="표준 2 2 2 2 3 4" xfId="755"/>
    <cellStyle name="표준 2 2 2 2 3 4 2" xfId="9520"/>
    <cellStyle name="표준 2 2 2 2 3 4 2 2" xfId="20768"/>
    <cellStyle name="표준 2 2 2 2 3 4 3" xfId="7082"/>
    <cellStyle name="표준 2 2 2 2 3 4 3 2" xfId="18330"/>
    <cellStyle name="표준 2 2 2 2 3 4 4" xfId="4643"/>
    <cellStyle name="표준 2 2 2 2 3 4 4 2" xfId="15892"/>
    <cellStyle name="표준 2 2 2 2 3 4 5" xfId="2382"/>
    <cellStyle name="표준 2 2 2 2 3 4 5 2" xfId="13777"/>
    <cellStyle name="표준 2 2 2 2 3 4 6" xfId="12317"/>
    <cellStyle name="표준 2 2 2 2 3 5" xfId="1140"/>
    <cellStyle name="표준 2 2 2 2 3 5 2" xfId="8561"/>
    <cellStyle name="표준 2 2 2 2 3 5 2 2" xfId="19809"/>
    <cellStyle name="표준 2 2 2 2 3 5 3" xfId="2761"/>
    <cellStyle name="표준 2 2 2 2 3 5 3 2" xfId="14039"/>
    <cellStyle name="표준 2 2 2 2 3 5 4" xfId="12579"/>
    <cellStyle name="표준 2 2 2 2 3 6" xfId="6123"/>
    <cellStyle name="표준 2 2 2 2 3 6 2" xfId="17371"/>
    <cellStyle name="표준 2 2 2 2 3 7" xfId="10929"/>
    <cellStyle name="표준 2 2 2 2 3 7 2" xfId="22176"/>
    <cellStyle name="표준 2 2 2 2 3 8" xfId="3682"/>
    <cellStyle name="표준 2 2 2 2 3 8 2" xfId="14933"/>
    <cellStyle name="표준 2 2 2 2 3 9" xfId="1823"/>
    <cellStyle name="표준 2 2 2 2 3 9 2" xfId="13252"/>
    <cellStyle name="표준 2 2 2 2 4" xfId="222"/>
    <cellStyle name="표준 2 2 2 2 4 2" xfId="506"/>
    <cellStyle name="표준 2 2 2 2 4 2 2" xfId="1594"/>
    <cellStyle name="표준 2 2 2 2 4 2 2 2" xfId="5408"/>
    <cellStyle name="표준 2 2 2 2 4 2 2 2 2" xfId="10285"/>
    <cellStyle name="표준 2 2 2 2 4 2 2 2 2 2" xfId="21533"/>
    <cellStyle name="표준 2 2 2 2 4 2 2 2 3" xfId="7847"/>
    <cellStyle name="표준 2 2 2 2 4 2 2 2 3 2" xfId="19095"/>
    <cellStyle name="표준 2 2 2 2 4 2 2 2 4" xfId="16657"/>
    <cellStyle name="표준 2 2 2 2 4 2 2 3" xfId="9295"/>
    <cellStyle name="표준 2 2 2 2 4 2 2 3 2" xfId="20543"/>
    <cellStyle name="표준 2 2 2 2 4 2 2 4" xfId="6857"/>
    <cellStyle name="표준 2 2 2 2 4 2 2 4 2" xfId="18105"/>
    <cellStyle name="표준 2 2 2 2 4 2 2 5" xfId="4416"/>
    <cellStyle name="표준 2 2 2 2 4 2 2 5 2" xfId="15667"/>
    <cellStyle name="표준 2 2 2 2 4 2 2 6" xfId="3206"/>
    <cellStyle name="표준 2 2 2 2 4 2 2 6 2" xfId="14484"/>
    <cellStyle name="표준 2 2 2 2 4 2 2 7" xfId="13024"/>
    <cellStyle name="표준 2 2 2 2 4 2 3" xfId="4955"/>
    <cellStyle name="표준 2 2 2 2 4 2 3 2" xfId="9832"/>
    <cellStyle name="표준 2 2 2 2 4 2 3 2 2" xfId="21080"/>
    <cellStyle name="표준 2 2 2 2 4 2 3 3" xfId="7394"/>
    <cellStyle name="표준 2 2 2 2 4 2 3 3 2" xfId="18642"/>
    <cellStyle name="표준 2 2 2 2 4 2 3 4" xfId="16204"/>
    <cellStyle name="표준 2 2 2 2 4 2 4" xfId="8842"/>
    <cellStyle name="표준 2 2 2 2 4 2 4 2" xfId="20090"/>
    <cellStyle name="표준 2 2 2 2 4 2 5" xfId="6404"/>
    <cellStyle name="표준 2 2 2 2 4 2 5 2" xfId="17652"/>
    <cellStyle name="표준 2 2 2 2 4 2 6" xfId="3963"/>
    <cellStyle name="표준 2 2 2 2 4 2 6 2" xfId="15214"/>
    <cellStyle name="표준 2 2 2 2 4 2 7" xfId="2178"/>
    <cellStyle name="표준 2 2 2 2 4 2 7 2" xfId="13605"/>
    <cellStyle name="표준 2 2 2 2 4 2 8" xfId="12145"/>
    <cellStyle name="표준 2 2 2 2 4 3" xfId="1209"/>
    <cellStyle name="표준 2 2 2 2 4 3 2" xfId="5181"/>
    <cellStyle name="표준 2 2 2 2 4 3 2 2" xfId="10058"/>
    <cellStyle name="표준 2 2 2 2 4 3 2 2 2" xfId="21306"/>
    <cellStyle name="표준 2 2 2 2 4 3 2 3" xfId="7620"/>
    <cellStyle name="표준 2 2 2 2 4 3 2 3 2" xfId="18868"/>
    <cellStyle name="표준 2 2 2 2 4 3 2 4" xfId="16430"/>
    <cellStyle name="표준 2 2 2 2 4 3 3" xfId="9068"/>
    <cellStyle name="표준 2 2 2 2 4 3 3 2" xfId="20316"/>
    <cellStyle name="표준 2 2 2 2 4 3 4" xfId="6630"/>
    <cellStyle name="표준 2 2 2 2 4 3 4 2" xfId="17878"/>
    <cellStyle name="표준 2 2 2 2 4 3 5" xfId="4189"/>
    <cellStyle name="표준 2 2 2 2 4 3 5 2" xfId="15440"/>
    <cellStyle name="표준 2 2 2 2 4 3 6" xfId="2830"/>
    <cellStyle name="표준 2 2 2 2 4 3 6 2" xfId="14108"/>
    <cellStyle name="표준 2 2 2 2 4 3 7" xfId="12648"/>
    <cellStyle name="표준 2 2 2 2 4 4" xfId="4729"/>
    <cellStyle name="표준 2 2 2 2 4 4 2" xfId="9606"/>
    <cellStyle name="표준 2 2 2 2 4 4 2 2" xfId="20854"/>
    <cellStyle name="표준 2 2 2 2 4 4 3" xfId="7168"/>
    <cellStyle name="표준 2 2 2 2 4 4 3 2" xfId="18416"/>
    <cellStyle name="표준 2 2 2 2 4 4 4" xfId="15978"/>
    <cellStyle name="표준 2 2 2 2 4 5" xfId="8616"/>
    <cellStyle name="표준 2 2 2 2 4 5 2" xfId="19864"/>
    <cellStyle name="표준 2 2 2 2 4 6" xfId="6178"/>
    <cellStyle name="표준 2 2 2 2 4 6 2" xfId="17426"/>
    <cellStyle name="표준 2 2 2 2 4 7" xfId="3737"/>
    <cellStyle name="표준 2 2 2 2 4 7 2" xfId="14988"/>
    <cellStyle name="표준 2 2 2 2 4 8" xfId="1894"/>
    <cellStyle name="표준 2 2 2 2 4 8 2" xfId="13321"/>
    <cellStyle name="표준 2 2 2 2 4 9" xfId="11861"/>
    <cellStyle name="표준 2 2 2 2 5" xfId="396"/>
    <cellStyle name="표준 2 2 2 2 5 2" xfId="1494"/>
    <cellStyle name="표준 2 2 2 2 5 2 2" xfId="5275"/>
    <cellStyle name="표준 2 2 2 2 5 2 2 2" xfId="10152"/>
    <cellStyle name="표준 2 2 2 2 5 2 2 2 2" xfId="21400"/>
    <cellStyle name="표준 2 2 2 2 5 2 2 3" xfId="7714"/>
    <cellStyle name="표준 2 2 2 2 5 2 2 3 2" xfId="18962"/>
    <cellStyle name="표준 2 2 2 2 5 2 2 4" xfId="16524"/>
    <cellStyle name="표준 2 2 2 2 5 2 3" xfId="9162"/>
    <cellStyle name="표준 2 2 2 2 5 2 3 2" xfId="20410"/>
    <cellStyle name="표준 2 2 2 2 5 2 4" xfId="6724"/>
    <cellStyle name="표준 2 2 2 2 5 2 4 2" xfId="17972"/>
    <cellStyle name="표준 2 2 2 2 5 2 5" xfId="4283"/>
    <cellStyle name="표준 2 2 2 2 5 2 5 2" xfId="15534"/>
    <cellStyle name="표준 2 2 2 2 5 2 6" xfId="3106"/>
    <cellStyle name="표준 2 2 2 2 5 2 6 2" xfId="14384"/>
    <cellStyle name="표준 2 2 2 2 5 2 7" xfId="12924"/>
    <cellStyle name="표준 2 2 2 2 5 3" xfId="1099"/>
    <cellStyle name="표준 2 2 2 2 5 3 2" xfId="9699"/>
    <cellStyle name="표준 2 2 2 2 5 3 2 2" xfId="20947"/>
    <cellStyle name="표준 2 2 2 2 5 3 3" xfId="7261"/>
    <cellStyle name="표준 2 2 2 2 5 3 3 2" xfId="18509"/>
    <cellStyle name="표준 2 2 2 2 5 3 4" xfId="4822"/>
    <cellStyle name="표준 2 2 2 2 5 3 4 2" xfId="16071"/>
    <cellStyle name="표준 2 2 2 2 5 3 5" xfId="2720"/>
    <cellStyle name="표준 2 2 2 2 5 3 5 2" xfId="13998"/>
    <cellStyle name="표준 2 2 2 2 5 3 6" xfId="12538"/>
    <cellStyle name="표준 2 2 2 2 5 4" xfId="8709"/>
    <cellStyle name="표준 2 2 2 2 5 4 2" xfId="19957"/>
    <cellStyle name="표준 2 2 2 2 5 5" xfId="6271"/>
    <cellStyle name="표준 2 2 2 2 5 5 2" xfId="17519"/>
    <cellStyle name="표준 2 2 2 2 5 6" xfId="3830"/>
    <cellStyle name="표준 2 2 2 2 5 6 2" xfId="15081"/>
    <cellStyle name="표준 2 2 2 2 5 7" xfId="2068"/>
    <cellStyle name="표준 2 2 2 2 5 7 2" xfId="13495"/>
    <cellStyle name="표준 2 2 2 2 5 8" xfId="12035"/>
    <cellStyle name="표준 2 2 2 2 6" xfId="327"/>
    <cellStyle name="표준 2 2 2 2 6 2" xfId="1700"/>
    <cellStyle name="표준 2 2 2 2 6 2 2" xfId="9925"/>
    <cellStyle name="표준 2 2 2 2 6 2 2 2" xfId="21173"/>
    <cellStyle name="표준 2 2 2 2 6 2 3" xfId="7487"/>
    <cellStyle name="표준 2 2 2 2 6 2 3 2" xfId="18735"/>
    <cellStyle name="표준 2 2 2 2 6 2 4" xfId="5048"/>
    <cellStyle name="표준 2 2 2 2 6 2 4 2" xfId="16297"/>
    <cellStyle name="표준 2 2 2 2 6 2 5" xfId="3312"/>
    <cellStyle name="표준 2 2 2 2 6 2 5 2" xfId="14590"/>
    <cellStyle name="표준 2 2 2 2 6 2 6" xfId="13130"/>
    <cellStyle name="표준 2 2 2 2 6 3" xfId="1318"/>
    <cellStyle name="표준 2 2 2 2 6 3 2" xfId="8935"/>
    <cellStyle name="표준 2 2 2 2 6 3 2 2" xfId="20183"/>
    <cellStyle name="표준 2 2 2 2 6 3 3" xfId="2939"/>
    <cellStyle name="표준 2 2 2 2 6 3 3 2" xfId="14217"/>
    <cellStyle name="표준 2 2 2 2 6 3 4" xfId="12757"/>
    <cellStyle name="표준 2 2 2 2 6 4" xfId="6497"/>
    <cellStyle name="표준 2 2 2 2 6 4 2" xfId="17745"/>
    <cellStyle name="표준 2 2 2 2 6 5" xfId="4056"/>
    <cellStyle name="표준 2 2 2 2 6 5 2" xfId="15307"/>
    <cellStyle name="표준 2 2 2 2 6 6" xfId="1999"/>
    <cellStyle name="표준 2 2 2 2 6 6 2" xfId="13426"/>
    <cellStyle name="표준 2 2 2 2 6 7" xfId="11966"/>
    <cellStyle name="표준 2 2 2 2 7" xfId="620"/>
    <cellStyle name="표준 2 2 2 2 7 2" xfId="1408"/>
    <cellStyle name="표준 2 2 2 2 7 2 2" xfId="10379"/>
    <cellStyle name="표준 2 2 2 2 7 2 2 2" xfId="21627"/>
    <cellStyle name="표준 2 2 2 2 7 2 3" xfId="7941"/>
    <cellStyle name="표준 2 2 2 2 7 2 3 2" xfId="19189"/>
    <cellStyle name="표준 2 2 2 2 7 2 4" xfId="5502"/>
    <cellStyle name="표준 2 2 2 2 7 2 4 2" xfId="16751"/>
    <cellStyle name="표준 2 2 2 2 7 2 5" xfId="3022"/>
    <cellStyle name="표준 2 2 2 2 7 2 5 2" xfId="14300"/>
    <cellStyle name="표준 2 2 2 2 7 2 6" xfId="12840"/>
    <cellStyle name="표준 2 2 2 2 7 3" xfId="9389"/>
    <cellStyle name="표준 2 2 2 2 7 3 2" xfId="20637"/>
    <cellStyle name="표준 2 2 2 2 7 4" xfId="6951"/>
    <cellStyle name="표준 2 2 2 2 7 4 2" xfId="18199"/>
    <cellStyle name="표준 2 2 2 2 7 5" xfId="4512"/>
    <cellStyle name="표준 2 2 2 2 7 5 2" xfId="15761"/>
    <cellStyle name="표준 2 2 2 2 7 6" xfId="2292"/>
    <cellStyle name="표준 2 2 2 2 7 6 2" xfId="13711"/>
    <cellStyle name="표준 2 2 2 2 7 7" xfId="12251"/>
    <cellStyle name="표준 2 2 2 2 8" xfId="1030"/>
    <cellStyle name="표준 2 2 2 2 8 2" xfId="9473"/>
    <cellStyle name="표준 2 2 2 2 8 2 2" xfId="20721"/>
    <cellStyle name="표준 2 2 2 2 8 3" xfId="7035"/>
    <cellStyle name="표준 2 2 2 2 8 3 2" xfId="18283"/>
    <cellStyle name="표준 2 2 2 2 8 4" xfId="4596"/>
    <cellStyle name="표준 2 2 2 2 8 4 2" xfId="15845"/>
    <cellStyle name="표준 2 2 2 2 8 5" xfId="2651"/>
    <cellStyle name="표준 2 2 2 2 8 5 2" xfId="13929"/>
    <cellStyle name="표준 2 2 2 2 8 6" xfId="12469"/>
    <cellStyle name="표준 2 2 2 2 9" xfId="966"/>
    <cellStyle name="표준 2 2 2 2 9 2" xfId="10463"/>
    <cellStyle name="표준 2 2 2 2 9 2 2" xfId="21711"/>
    <cellStyle name="표준 2 2 2 2 9 3" xfId="8025"/>
    <cellStyle name="표준 2 2 2 2 9 3 2" xfId="19273"/>
    <cellStyle name="표준 2 2 2 2 9 4" xfId="5586"/>
    <cellStyle name="표준 2 2 2 2 9 4 2" xfId="16835"/>
    <cellStyle name="표준 2 2 2 2 9 5" xfId="2588"/>
    <cellStyle name="표준 2 2 2 2 9 5 2" xfId="13866"/>
    <cellStyle name="표준 2 2 2 2 9 6" xfId="12406"/>
    <cellStyle name="표준 2 2 2 20" xfId="3391"/>
    <cellStyle name="표준 2 2 2 20 2" xfId="14669"/>
    <cellStyle name="표준 2 2 2 21" xfId="1770"/>
    <cellStyle name="표준 2 2 2 21 2" xfId="13199"/>
    <cellStyle name="표준 2 2 2 22" xfId="11739"/>
    <cellStyle name="표준 2 2 2 3" xfId="73"/>
    <cellStyle name="표준 2 2 2 3 10" xfId="5693"/>
    <cellStyle name="표준 2 2 2 3 10 2" xfId="10570"/>
    <cellStyle name="표준 2 2 2 3 10 2 2" xfId="21818"/>
    <cellStyle name="표준 2 2 2 3 10 3" xfId="8132"/>
    <cellStyle name="표준 2 2 2 3 10 3 2" xfId="19380"/>
    <cellStyle name="표준 2 2 2 3 10 4" xfId="16942"/>
    <cellStyle name="표준 2 2 2 3 11" xfId="5776"/>
    <cellStyle name="표준 2 2 2 3 11 2" xfId="10653"/>
    <cellStyle name="표준 2 2 2 3 11 2 2" xfId="21901"/>
    <cellStyle name="표준 2 2 2 3 11 3" xfId="8215"/>
    <cellStyle name="표준 2 2 2 3 11 3 2" xfId="19463"/>
    <cellStyle name="표준 2 2 2 3 11 4" xfId="17025"/>
    <cellStyle name="표준 2 2 2 3 12" xfId="3579"/>
    <cellStyle name="표준 2 2 2 3 12 2" xfId="8478"/>
    <cellStyle name="표준 2 2 2 3 12 2 2" xfId="19726"/>
    <cellStyle name="표준 2 2 2 3 12 3" xfId="6040"/>
    <cellStyle name="표준 2 2 2 3 12 3 2" xfId="17288"/>
    <cellStyle name="표준 2 2 2 3 12 4" xfId="14850"/>
    <cellStyle name="표준 2 2 2 3 13" xfId="8299"/>
    <cellStyle name="표준 2 2 2 3 13 2" xfId="19547"/>
    <cellStyle name="표준 2 2 2 3 14" xfId="5861"/>
    <cellStyle name="표준 2 2 2 3 14 2" xfId="17109"/>
    <cellStyle name="표준 2 2 2 3 15" xfId="10745"/>
    <cellStyle name="표준 2 2 2 3 15 2" xfId="21993"/>
    <cellStyle name="표준 2 2 2 3 16" xfId="3393"/>
    <cellStyle name="표준 2 2 2 3 16 2" xfId="14671"/>
    <cellStyle name="표준 2 2 2 3 17" xfId="1789"/>
    <cellStyle name="표준 2 2 2 3 17 2" xfId="13218"/>
    <cellStyle name="표준 2 2 2 3 18" xfId="11758"/>
    <cellStyle name="표준 2 2 2 3 2" xfId="186"/>
    <cellStyle name="표준 2 2 2 3 2 10" xfId="3580"/>
    <cellStyle name="표준 2 2 2 3 2 10 2" xfId="8479"/>
    <cellStyle name="표준 2 2 2 3 2 10 2 2" xfId="19727"/>
    <cellStyle name="표준 2 2 2 3 2 10 3" xfId="6041"/>
    <cellStyle name="표준 2 2 2 3 2 10 3 2" xfId="17289"/>
    <cellStyle name="표준 2 2 2 3 2 10 4" xfId="14851"/>
    <cellStyle name="표준 2 2 2 3 2 11" xfId="8300"/>
    <cellStyle name="표준 2 2 2 3 2 11 2" xfId="19548"/>
    <cellStyle name="표준 2 2 2 3 2 12" xfId="5862"/>
    <cellStyle name="표준 2 2 2 3 2 12 2" xfId="17110"/>
    <cellStyle name="표준 2 2 2 3 2 13" xfId="10746"/>
    <cellStyle name="표준 2 2 2 3 2 13 2" xfId="21994"/>
    <cellStyle name="표준 2 2 2 3 2 14" xfId="3394"/>
    <cellStyle name="표준 2 2 2 3 2 14 2" xfId="14672"/>
    <cellStyle name="표준 2 2 2 3 2 15" xfId="1860"/>
    <cellStyle name="표준 2 2 2 3 2 15 2" xfId="13287"/>
    <cellStyle name="표준 2 2 2 3 2 16" xfId="11827"/>
    <cellStyle name="표준 2 2 2 3 2 2" xfId="298"/>
    <cellStyle name="표준 2 2 2 3 2 2 10" xfId="1970"/>
    <cellStyle name="표준 2 2 2 3 2 2 10 2" xfId="13397"/>
    <cellStyle name="표준 2 2 2 3 2 2 11" xfId="11937"/>
    <cellStyle name="표준 2 2 2 3 2 2 2" xfId="582"/>
    <cellStyle name="표준 2 2 2 3 2 2 2 2" xfId="1670"/>
    <cellStyle name="표준 2 2 2 3 2 2 2 2 2" xfId="5410"/>
    <cellStyle name="표준 2 2 2 3 2 2 2 2 2 2" xfId="10287"/>
    <cellStyle name="표준 2 2 2 3 2 2 2 2 2 2 2" xfId="21535"/>
    <cellStyle name="표준 2 2 2 3 2 2 2 2 2 3" xfId="7849"/>
    <cellStyle name="표준 2 2 2 3 2 2 2 2 2 3 2" xfId="19097"/>
    <cellStyle name="표준 2 2 2 3 2 2 2 2 2 4" xfId="16659"/>
    <cellStyle name="표준 2 2 2 3 2 2 2 2 3" xfId="9297"/>
    <cellStyle name="표준 2 2 2 3 2 2 2 2 3 2" xfId="20545"/>
    <cellStyle name="표준 2 2 2 3 2 2 2 2 4" xfId="6859"/>
    <cellStyle name="표준 2 2 2 3 2 2 2 2 4 2" xfId="18107"/>
    <cellStyle name="표준 2 2 2 3 2 2 2 2 5" xfId="4418"/>
    <cellStyle name="표준 2 2 2 3 2 2 2 2 5 2" xfId="15669"/>
    <cellStyle name="표준 2 2 2 3 2 2 2 2 6" xfId="3282"/>
    <cellStyle name="표준 2 2 2 3 2 2 2 2 6 2" xfId="14560"/>
    <cellStyle name="표준 2 2 2 3 2 2 2 2 7" xfId="13100"/>
    <cellStyle name="표준 2 2 2 3 2 2 2 3" xfId="4957"/>
    <cellStyle name="표준 2 2 2 3 2 2 2 3 2" xfId="9834"/>
    <cellStyle name="표준 2 2 2 3 2 2 2 3 2 2" xfId="21082"/>
    <cellStyle name="표준 2 2 2 3 2 2 2 3 3" xfId="7396"/>
    <cellStyle name="표준 2 2 2 3 2 2 2 3 3 2" xfId="18644"/>
    <cellStyle name="표준 2 2 2 3 2 2 2 3 4" xfId="16206"/>
    <cellStyle name="표준 2 2 2 3 2 2 2 4" xfId="8844"/>
    <cellStyle name="표준 2 2 2 3 2 2 2 4 2" xfId="20092"/>
    <cellStyle name="표준 2 2 2 3 2 2 2 5" xfId="6406"/>
    <cellStyle name="표준 2 2 2 3 2 2 2 5 2" xfId="17654"/>
    <cellStyle name="표준 2 2 2 3 2 2 2 6" xfId="11014"/>
    <cellStyle name="표준 2 2 2 3 2 2 2 6 2" xfId="22261"/>
    <cellStyle name="표준 2 2 2 3 2 2 2 7" xfId="3965"/>
    <cellStyle name="표준 2 2 2 3 2 2 2 7 2" xfId="15216"/>
    <cellStyle name="표준 2 2 2 3 2 2 2 8" xfId="2254"/>
    <cellStyle name="표준 2 2 2 3 2 2 2 8 2" xfId="13681"/>
    <cellStyle name="표준 2 2 2 3 2 2 2 9" xfId="12221"/>
    <cellStyle name="표준 2 2 2 3 2 2 3" xfId="757"/>
    <cellStyle name="표준 2 2 2 3 2 2 3 2" xfId="5183"/>
    <cellStyle name="표준 2 2 2 3 2 2 3 2 2" xfId="10060"/>
    <cellStyle name="표준 2 2 2 3 2 2 3 2 2 2" xfId="21308"/>
    <cellStyle name="표준 2 2 2 3 2 2 3 2 3" xfId="7622"/>
    <cellStyle name="표준 2 2 2 3 2 2 3 2 3 2" xfId="18870"/>
    <cellStyle name="표준 2 2 2 3 2 2 3 2 4" xfId="16432"/>
    <cellStyle name="표준 2 2 2 3 2 2 3 3" xfId="9070"/>
    <cellStyle name="표준 2 2 2 3 2 2 3 3 2" xfId="20318"/>
    <cellStyle name="표준 2 2 2 3 2 2 3 4" xfId="6632"/>
    <cellStyle name="표준 2 2 2 3 2 2 3 4 2" xfId="17880"/>
    <cellStyle name="표준 2 2 2 3 2 2 3 5" xfId="4191"/>
    <cellStyle name="표준 2 2 2 3 2 2 3 5 2" xfId="15442"/>
    <cellStyle name="표준 2 2 2 3 2 2 3 6" xfId="2384"/>
    <cellStyle name="표준 2 2 2 3 2 2 3 6 2" xfId="13779"/>
    <cellStyle name="표준 2 2 2 3 2 2 3 7" xfId="12319"/>
    <cellStyle name="표준 2 2 2 3 2 2 4" xfId="1285"/>
    <cellStyle name="표준 2 2 2 3 2 2 4 2" xfId="9608"/>
    <cellStyle name="표준 2 2 2 3 2 2 4 2 2" xfId="20856"/>
    <cellStyle name="표준 2 2 2 3 2 2 4 3" xfId="7170"/>
    <cellStyle name="표준 2 2 2 3 2 2 4 3 2" xfId="18418"/>
    <cellStyle name="표준 2 2 2 3 2 2 4 4" xfId="4731"/>
    <cellStyle name="표준 2 2 2 3 2 2 4 4 2" xfId="15980"/>
    <cellStyle name="표준 2 2 2 3 2 2 4 5" xfId="2906"/>
    <cellStyle name="표준 2 2 2 3 2 2 4 5 2" xfId="14184"/>
    <cellStyle name="표준 2 2 2 3 2 2 4 6" xfId="12724"/>
    <cellStyle name="표준 2 2 2 3 2 2 5" xfId="3739"/>
    <cellStyle name="표준 2 2 2 3 2 2 5 2" xfId="8618"/>
    <cellStyle name="표준 2 2 2 3 2 2 5 2 2" xfId="19866"/>
    <cellStyle name="표준 2 2 2 3 2 2 5 3" xfId="6180"/>
    <cellStyle name="표준 2 2 2 3 2 2 5 3 2" xfId="17428"/>
    <cellStyle name="표준 2 2 2 3 2 2 5 4" xfId="14990"/>
    <cellStyle name="표준 2 2 2 3 2 2 6" xfId="8383"/>
    <cellStyle name="표준 2 2 2 3 2 2 6 2" xfId="19631"/>
    <cellStyle name="표준 2 2 2 3 2 2 7" xfId="5945"/>
    <cellStyle name="표준 2 2 2 3 2 2 7 2" xfId="17193"/>
    <cellStyle name="표준 2 2 2 3 2 2 8" xfId="10829"/>
    <cellStyle name="표준 2 2 2 3 2 2 8 2" xfId="22077"/>
    <cellStyle name="표준 2 2 2 3 2 2 9" xfId="3483"/>
    <cellStyle name="표준 2 2 2 3 2 2 9 2" xfId="14755"/>
    <cellStyle name="표준 2 2 2 3 2 3" xfId="472"/>
    <cellStyle name="표준 2 2 2 3 2 3 2" xfId="1565"/>
    <cellStyle name="표준 2 2 2 3 2 3 2 2" xfId="5324"/>
    <cellStyle name="표준 2 2 2 3 2 3 2 2 2" xfId="10201"/>
    <cellStyle name="표준 2 2 2 3 2 3 2 2 2 2" xfId="21449"/>
    <cellStyle name="표준 2 2 2 3 2 3 2 2 3" xfId="7763"/>
    <cellStyle name="표준 2 2 2 3 2 3 2 2 3 2" xfId="19011"/>
    <cellStyle name="표준 2 2 2 3 2 3 2 2 4" xfId="16573"/>
    <cellStyle name="표준 2 2 2 3 2 3 2 3" xfId="9211"/>
    <cellStyle name="표준 2 2 2 3 2 3 2 3 2" xfId="20459"/>
    <cellStyle name="표준 2 2 2 3 2 3 2 4" xfId="6773"/>
    <cellStyle name="표준 2 2 2 3 2 3 2 4 2" xfId="18021"/>
    <cellStyle name="표준 2 2 2 3 2 3 2 5" xfId="4332"/>
    <cellStyle name="표준 2 2 2 3 2 3 2 5 2" xfId="15583"/>
    <cellStyle name="표준 2 2 2 3 2 3 2 6" xfId="3177"/>
    <cellStyle name="표준 2 2 2 3 2 3 2 6 2" xfId="14455"/>
    <cellStyle name="표준 2 2 2 3 2 3 2 7" xfId="12995"/>
    <cellStyle name="표준 2 2 2 3 2 3 3" xfId="1175"/>
    <cellStyle name="표준 2 2 2 3 2 3 3 2" xfId="9748"/>
    <cellStyle name="표준 2 2 2 3 2 3 3 2 2" xfId="20996"/>
    <cellStyle name="표준 2 2 2 3 2 3 3 3" xfId="7310"/>
    <cellStyle name="표준 2 2 2 3 2 3 3 3 2" xfId="18558"/>
    <cellStyle name="표준 2 2 2 3 2 3 3 4" xfId="4871"/>
    <cellStyle name="표준 2 2 2 3 2 3 3 4 2" xfId="16120"/>
    <cellStyle name="표준 2 2 2 3 2 3 3 5" xfId="2796"/>
    <cellStyle name="표준 2 2 2 3 2 3 3 5 2" xfId="14074"/>
    <cellStyle name="표준 2 2 2 3 2 3 3 6" xfId="12614"/>
    <cellStyle name="표준 2 2 2 3 2 3 4" xfId="8758"/>
    <cellStyle name="표준 2 2 2 3 2 3 4 2" xfId="20006"/>
    <cellStyle name="표준 2 2 2 3 2 3 5" xfId="6320"/>
    <cellStyle name="표준 2 2 2 3 2 3 5 2" xfId="17568"/>
    <cellStyle name="표준 2 2 2 3 2 3 6" xfId="10931"/>
    <cellStyle name="표준 2 2 2 3 2 3 6 2" xfId="22178"/>
    <cellStyle name="표준 2 2 2 3 2 3 7" xfId="3879"/>
    <cellStyle name="표준 2 2 2 3 2 3 7 2" xfId="15130"/>
    <cellStyle name="표준 2 2 2 3 2 3 8" xfId="2144"/>
    <cellStyle name="표준 2 2 2 3 2 3 8 2" xfId="13571"/>
    <cellStyle name="표준 2 2 2 3 2 3 9" xfId="12111"/>
    <cellStyle name="표준 2 2 2 3 2 4" xfId="362"/>
    <cellStyle name="표준 2 2 2 3 2 4 2" xfId="1702"/>
    <cellStyle name="표준 2 2 2 3 2 4 2 2" xfId="9974"/>
    <cellStyle name="표준 2 2 2 3 2 4 2 2 2" xfId="21222"/>
    <cellStyle name="표준 2 2 2 3 2 4 2 3" xfId="7536"/>
    <cellStyle name="표준 2 2 2 3 2 4 2 3 2" xfId="18784"/>
    <cellStyle name="표준 2 2 2 3 2 4 2 4" xfId="5097"/>
    <cellStyle name="표준 2 2 2 3 2 4 2 4 2" xfId="16346"/>
    <cellStyle name="표준 2 2 2 3 2 4 2 5" xfId="3314"/>
    <cellStyle name="표준 2 2 2 3 2 4 2 5 2" xfId="14592"/>
    <cellStyle name="표준 2 2 2 3 2 4 2 6" xfId="13132"/>
    <cellStyle name="표준 2 2 2 3 2 4 3" xfId="1320"/>
    <cellStyle name="표준 2 2 2 3 2 4 3 2" xfId="8984"/>
    <cellStyle name="표준 2 2 2 3 2 4 3 2 2" xfId="20232"/>
    <cellStyle name="표준 2 2 2 3 2 4 3 3" xfId="2941"/>
    <cellStyle name="표준 2 2 2 3 2 4 3 3 2" xfId="14219"/>
    <cellStyle name="표준 2 2 2 3 2 4 3 4" xfId="12759"/>
    <cellStyle name="표준 2 2 2 3 2 4 4" xfId="6546"/>
    <cellStyle name="표준 2 2 2 3 2 4 4 2" xfId="17794"/>
    <cellStyle name="표준 2 2 2 3 2 4 5" xfId="4105"/>
    <cellStyle name="표준 2 2 2 3 2 4 5 2" xfId="15356"/>
    <cellStyle name="표준 2 2 2 3 2 4 6" xfId="2034"/>
    <cellStyle name="표준 2 2 2 3 2 4 6 2" xfId="13461"/>
    <cellStyle name="표준 2 2 2 3 2 4 7" xfId="12001"/>
    <cellStyle name="표준 2 2 2 3 2 5" xfId="705"/>
    <cellStyle name="표준 2 2 2 3 2 5 2" xfId="1410"/>
    <cellStyle name="표준 2 2 2 3 2 5 2 2" xfId="10381"/>
    <cellStyle name="표준 2 2 2 3 2 5 2 2 2" xfId="21629"/>
    <cellStyle name="표준 2 2 2 3 2 5 2 3" xfId="7943"/>
    <cellStyle name="표준 2 2 2 3 2 5 2 3 2" xfId="19191"/>
    <cellStyle name="표준 2 2 2 3 2 5 2 4" xfId="5504"/>
    <cellStyle name="표준 2 2 2 3 2 5 2 4 2" xfId="16753"/>
    <cellStyle name="표준 2 2 2 3 2 5 2 5" xfId="3024"/>
    <cellStyle name="표준 2 2 2 3 2 5 2 5 2" xfId="14302"/>
    <cellStyle name="표준 2 2 2 3 2 5 2 6" xfId="12842"/>
    <cellStyle name="표준 2 2 2 3 2 5 3" xfId="9391"/>
    <cellStyle name="표준 2 2 2 3 2 5 3 2" xfId="20639"/>
    <cellStyle name="표준 2 2 2 3 2 5 4" xfId="6953"/>
    <cellStyle name="표준 2 2 2 3 2 5 4 2" xfId="18201"/>
    <cellStyle name="표준 2 2 2 3 2 5 5" xfId="4514"/>
    <cellStyle name="표준 2 2 2 3 2 5 5 2" xfId="15763"/>
    <cellStyle name="표준 2 2 2 3 2 5 6" xfId="2337"/>
    <cellStyle name="표준 2 2 2 3 2 5 6 2" xfId="13750"/>
    <cellStyle name="표준 2 2 2 3 2 5 7" xfId="12290"/>
    <cellStyle name="표준 2 2 2 3 2 6" xfId="1065"/>
    <cellStyle name="표준 2 2 2 3 2 6 2" xfId="9522"/>
    <cellStyle name="표준 2 2 2 3 2 6 2 2" xfId="20770"/>
    <cellStyle name="표준 2 2 2 3 2 6 3" xfId="7084"/>
    <cellStyle name="표준 2 2 2 3 2 6 3 2" xfId="18332"/>
    <cellStyle name="표준 2 2 2 3 2 6 4" xfId="4645"/>
    <cellStyle name="표준 2 2 2 3 2 6 4 2" xfId="15894"/>
    <cellStyle name="표준 2 2 2 3 2 6 5" xfId="2686"/>
    <cellStyle name="표준 2 2 2 3 2 6 5 2" xfId="13964"/>
    <cellStyle name="표준 2 2 2 3 2 6 6" xfId="12504"/>
    <cellStyle name="표준 2 2 2 3 2 7" xfId="1001"/>
    <cellStyle name="표준 2 2 2 3 2 7 2" xfId="10465"/>
    <cellStyle name="표준 2 2 2 3 2 7 2 2" xfId="21713"/>
    <cellStyle name="표준 2 2 2 3 2 7 3" xfId="8027"/>
    <cellStyle name="표준 2 2 2 3 2 7 3 2" xfId="19275"/>
    <cellStyle name="표준 2 2 2 3 2 7 4" xfId="5588"/>
    <cellStyle name="표준 2 2 2 3 2 7 4 2" xfId="16837"/>
    <cellStyle name="표준 2 2 2 3 2 7 5" xfId="2622"/>
    <cellStyle name="표준 2 2 2 3 2 7 5 2" xfId="13900"/>
    <cellStyle name="표준 2 2 2 3 2 7 6" xfId="12440"/>
    <cellStyle name="표준 2 2 2 3 2 8" xfId="5694"/>
    <cellStyle name="표준 2 2 2 3 2 8 2" xfId="10571"/>
    <cellStyle name="표준 2 2 2 3 2 8 2 2" xfId="21819"/>
    <cellStyle name="표준 2 2 2 3 2 8 3" xfId="8133"/>
    <cellStyle name="표준 2 2 2 3 2 8 3 2" xfId="19381"/>
    <cellStyle name="표준 2 2 2 3 2 8 4" xfId="16943"/>
    <cellStyle name="표준 2 2 2 3 2 9" xfId="5777"/>
    <cellStyle name="표준 2 2 2 3 2 9 2" xfId="10654"/>
    <cellStyle name="표준 2 2 2 3 2 9 2 2" xfId="21902"/>
    <cellStyle name="표준 2 2 2 3 2 9 3" xfId="8216"/>
    <cellStyle name="표준 2 2 2 3 2 9 3 2" xfId="19464"/>
    <cellStyle name="표준 2 2 2 3 2 9 4" xfId="17026"/>
    <cellStyle name="표준 2 2 2 3 3" xfId="114"/>
    <cellStyle name="표준 2 2 2 3 3 10" xfId="1830"/>
    <cellStyle name="표준 2 2 2 3 3 10 2" xfId="13259"/>
    <cellStyle name="표준 2 2 2 3 3 11" xfId="11799"/>
    <cellStyle name="표준 2 2 2 3 3 2" xfId="270"/>
    <cellStyle name="표준 2 2 2 3 3 2 2" xfId="554"/>
    <cellStyle name="표준 2 2 2 3 3 2 2 2" xfId="1642"/>
    <cellStyle name="표준 2 2 2 3 3 2 2 2 2" xfId="10200"/>
    <cellStyle name="표준 2 2 2 3 3 2 2 2 2 2" xfId="21448"/>
    <cellStyle name="표준 2 2 2 3 3 2 2 2 3" xfId="7762"/>
    <cellStyle name="표준 2 2 2 3 3 2 2 2 3 2" xfId="19010"/>
    <cellStyle name="표준 2 2 2 3 3 2 2 2 4" xfId="5323"/>
    <cellStyle name="표준 2 2 2 3 3 2 2 2 4 2" xfId="16572"/>
    <cellStyle name="표준 2 2 2 3 3 2 2 2 5" xfId="3254"/>
    <cellStyle name="표준 2 2 2 3 3 2 2 2 5 2" xfId="14532"/>
    <cellStyle name="표준 2 2 2 3 3 2 2 2 6" xfId="13072"/>
    <cellStyle name="표준 2 2 2 3 3 2 2 3" xfId="9210"/>
    <cellStyle name="표준 2 2 2 3 3 2 2 3 2" xfId="20458"/>
    <cellStyle name="표준 2 2 2 3 3 2 2 4" xfId="6772"/>
    <cellStyle name="표준 2 2 2 3 3 2 2 4 2" xfId="18020"/>
    <cellStyle name="표준 2 2 2 3 3 2 2 5" xfId="4331"/>
    <cellStyle name="표준 2 2 2 3 3 2 2 5 2" xfId="15582"/>
    <cellStyle name="표준 2 2 2 3 3 2 2 6" xfId="2226"/>
    <cellStyle name="표준 2 2 2 3 3 2 2 6 2" xfId="13653"/>
    <cellStyle name="표준 2 2 2 3 3 2 2 7" xfId="12193"/>
    <cellStyle name="표준 2 2 2 3 3 2 3" xfId="1257"/>
    <cellStyle name="표준 2 2 2 3 3 2 3 2" xfId="9747"/>
    <cellStyle name="표준 2 2 2 3 3 2 3 2 2" xfId="20995"/>
    <cellStyle name="표준 2 2 2 3 3 2 3 3" xfId="7309"/>
    <cellStyle name="표준 2 2 2 3 3 2 3 3 2" xfId="18557"/>
    <cellStyle name="표준 2 2 2 3 3 2 3 4" xfId="4870"/>
    <cellStyle name="표준 2 2 2 3 3 2 3 4 2" xfId="16119"/>
    <cellStyle name="표준 2 2 2 3 3 2 3 5" xfId="2878"/>
    <cellStyle name="표준 2 2 2 3 3 2 3 5 2" xfId="14156"/>
    <cellStyle name="표준 2 2 2 3 3 2 3 6" xfId="12696"/>
    <cellStyle name="표준 2 2 2 3 3 2 4" xfId="8757"/>
    <cellStyle name="표준 2 2 2 3 3 2 4 2" xfId="20005"/>
    <cellStyle name="표준 2 2 2 3 3 2 5" xfId="6319"/>
    <cellStyle name="표준 2 2 2 3 3 2 5 2" xfId="17567"/>
    <cellStyle name="표준 2 2 2 3 3 2 6" xfId="11013"/>
    <cellStyle name="표준 2 2 2 3 3 2 6 2" xfId="22260"/>
    <cellStyle name="표준 2 2 2 3 3 2 7" xfId="3878"/>
    <cellStyle name="표준 2 2 2 3 3 2 7 2" xfId="15129"/>
    <cellStyle name="표준 2 2 2 3 3 2 8" xfId="1942"/>
    <cellStyle name="표준 2 2 2 3 3 2 8 2" xfId="13369"/>
    <cellStyle name="표준 2 2 2 3 3 2 9" xfId="11909"/>
    <cellStyle name="표준 2 2 2 3 3 3" xfId="444"/>
    <cellStyle name="표준 2 2 2 3 3 3 2" xfId="1537"/>
    <cellStyle name="표준 2 2 2 3 3 3 2 2" xfId="9973"/>
    <cellStyle name="표준 2 2 2 3 3 3 2 2 2" xfId="21221"/>
    <cellStyle name="표준 2 2 2 3 3 3 2 3" xfId="7535"/>
    <cellStyle name="표준 2 2 2 3 3 3 2 3 2" xfId="18783"/>
    <cellStyle name="표준 2 2 2 3 3 3 2 4" xfId="5096"/>
    <cellStyle name="표준 2 2 2 3 3 3 2 4 2" xfId="16345"/>
    <cellStyle name="표준 2 2 2 3 3 3 2 5" xfId="3149"/>
    <cellStyle name="표준 2 2 2 3 3 3 2 5 2" xfId="14427"/>
    <cellStyle name="표준 2 2 2 3 3 3 2 6" xfId="12967"/>
    <cellStyle name="표준 2 2 2 3 3 3 3" xfId="8983"/>
    <cellStyle name="표준 2 2 2 3 3 3 3 2" xfId="20231"/>
    <cellStyle name="표준 2 2 2 3 3 3 4" xfId="6545"/>
    <cellStyle name="표준 2 2 2 3 3 3 4 2" xfId="17793"/>
    <cellStyle name="표준 2 2 2 3 3 3 5" xfId="4104"/>
    <cellStyle name="표준 2 2 2 3 3 3 5 2" xfId="15355"/>
    <cellStyle name="표준 2 2 2 3 3 3 6" xfId="2116"/>
    <cellStyle name="표준 2 2 2 3 3 3 6 2" xfId="13543"/>
    <cellStyle name="표준 2 2 2 3 3 3 7" xfId="12083"/>
    <cellStyle name="표준 2 2 2 3 3 4" xfId="756"/>
    <cellStyle name="표준 2 2 2 3 3 4 2" xfId="9521"/>
    <cellStyle name="표준 2 2 2 3 3 4 2 2" xfId="20769"/>
    <cellStyle name="표준 2 2 2 3 3 4 3" xfId="7083"/>
    <cellStyle name="표준 2 2 2 3 3 4 3 2" xfId="18331"/>
    <cellStyle name="표준 2 2 2 3 3 4 4" xfId="4644"/>
    <cellStyle name="표준 2 2 2 3 3 4 4 2" xfId="15893"/>
    <cellStyle name="표준 2 2 2 3 3 4 5" xfId="2383"/>
    <cellStyle name="표준 2 2 2 3 3 4 5 2" xfId="13778"/>
    <cellStyle name="표준 2 2 2 3 3 4 6" xfId="12318"/>
    <cellStyle name="표준 2 2 2 3 3 5" xfId="1147"/>
    <cellStyle name="표준 2 2 2 3 3 5 2" xfId="8562"/>
    <cellStyle name="표준 2 2 2 3 3 5 2 2" xfId="19810"/>
    <cellStyle name="표준 2 2 2 3 3 5 3" xfId="6124"/>
    <cellStyle name="표준 2 2 2 3 3 5 3 2" xfId="17372"/>
    <cellStyle name="표준 2 2 2 3 3 5 4" xfId="3683"/>
    <cellStyle name="표준 2 2 2 3 3 5 4 2" xfId="14934"/>
    <cellStyle name="표준 2 2 2 3 3 5 5" xfId="2768"/>
    <cellStyle name="표준 2 2 2 3 3 5 5 2" xfId="14046"/>
    <cellStyle name="표준 2 2 2 3 3 5 6" xfId="12586"/>
    <cellStyle name="표준 2 2 2 3 3 6" xfId="8382"/>
    <cellStyle name="표준 2 2 2 3 3 6 2" xfId="19630"/>
    <cellStyle name="표준 2 2 2 3 3 7" xfId="5944"/>
    <cellStyle name="표준 2 2 2 3 3 7 2" xfId="17192"/>
    <cellStyle name="표준 2 2 2 3 3 8" xfId="10828"/>
    <cellStyle name="표준 2 2 2 3 3 8 2" xfId="22076"/>
    <cellStyle name="표준 2 2 2 3 3 9" xfId="3482"/>
    <cellStyle name="표준 2 2 2 3 3 9 2" xfId="14754"/>
    <cellStyle name="표준 2 2 2 3 4" xfId="229"/>
    <cellStyle name="표준 2 2 2 3 4 10" xfId="11868"/>
    <cellStyle name="표준 2 2 2 3 4 2" xfId="513"/>
    <cellStyle name="표준 2 2 2 3 4 2 2" xfId="1601"/>
    <cellStyle name="표준 2 2 2 3 4 2 2 2" xfId="5409"/>
    <cellStyle name="표준 2 2 2 3 4 2 2 2 2" xfId="10286"/>
    <cellStyle name="표준 2 2 2 3 4 2 2 2 2 2" xfId="21534"/>
    <cellStyle name="표준 2 2 2 3 4 2 2 2 3" xfId="7848"/>
    <cellStyle name="표준 2 2 2 3 4 2 2 2 3 2" xfId="19096"/>
    <cellStyle name="표준 2 2 2 3 4 2 2 2 4" xfId="16658"/>
    <cellStyle name="표준 2 2 2 3 4 2 2 3" xfId="9296"/>
    <cellStyle name="표준 2 2 2 3 4 2 2 3 2" xfId="20544"/>
    <cellStyle name="표준 2 2 2 3 4 2 2 4" xfId="6858"/>
    <cellStyle name="표준 2 2 2 3 4 2 2 4 2" xfId="18106"/>
    <cellStyle name="표준 2 2 2 3 4 2 2 5" xfId="4417"/>
    <cellStyle name="표준 2 2 2 3 4 2 2 5 2" xfId="15668"/>
    <cellStyle name="표준 2 2 2 3 4 2 2 6" xfId="3213"/>
    <cellStyle name="표준 2 2 2 3 4 2 2 6 2" xfId="14491"/>
    <cellStyle name="표준 2 2 2 3 4 2 2 7" xfId="13031"/>
    <cellStyle name="표준 2 2 2 3 4 2 3" xfId="4956"/>
    <cellStyle name="표준 2 2 2 3 4 2 3 2" xfId="9833"/>
    <cellStyle name="표준 2 2 2 3 4 2 3 2 2" xfId="21081"/>
    <cellStyle name="표준 2 2 2 3 4 2 3 3" xfId="7395"/>
    <cellStyle name="표준 2 2 2 3 4 2 3 3 2" xfId="18643"/>
    <cellStyle name="표준 2 2 2 3 4 2 3 4" xfId="16205"/>
    <cellStyle name="표준 2 2 2 3 4 2 4" xfId="8843"/>
    <cellStyle name="표준 2 2 2 3 4 2 4 2" xfId="20091"/>
    <cellStyle name="표준 2 2 2 3 4 2 5" xfId="6405"/>
    <cellStyle name="표준 2 2 2 3 4 2 5 2" xfId="17653"/>
    <cellStyle name="표준 2 2 2 3 4 2 6" xfId="3964"/>
    <cellStyle name="표준 2 2 2 3 4 2 6 2" xfId="15215"/>
    <cellStyle name="표준 2 2 2 3 4 2 7" xfId="2185"/>
    <cellStyle name="표준 2 2 2 3 4 2 7 2" xfId="13612"/>
    <cellStyle name="표준 2 2 2 3 4 2 8" xfId="12152"/>
    <cellStyle name="표준 2 2 2 3 4 3" xfId="1216"/>
    <cellStyle name="표준 2 2 2 3 4 3 2" xfId="5182"/>
    <cellStyle name="표준 2 2 2 3 4 3 2 2" xfId="10059"/>
    <cellStyle name="표준 2 2 2 3 4 3 2 2 2" xfId="21307"/>
    <cellStyle name="표준 2 2 2 3 4 3 2 3" xfId="7621"/>
    <cellStyle name="표준 2 2 2 3 4 3 2 3 2" xfId="18869"/>
    <cellStyle name="표준 2 2 2 3 4 3 2 4" xfId="16431"/>
    <cellStyle name="표준 2 2 2 3 4 3 3" xfId="9069"/>
    <cellStyle name="표준 2 2 2 3 4 3 3 2" xfId="20317"/>
    <cellStyle name="표준 2 2 2 3 4 3 4" xfId="6631"/>
    <cellStyle name="표준 2 2 2 3 4 3 4 2" xfId="17879"/>
    <cellStyle name="표준 2 2 2 3 4 3 5" xfId="4190"/>
    <cellStyle name="표준 2 2 2 3 4 3 5 2" xfId="15441"/>
    <cellStyle name="표준 2 2 2 3 4 3 6" xfId="2837"/>
    <cellStyle name="표준 2 2 2 3 4 3 6 2" xfId="14115"/>
    <cellStyle name="표준 2 2 2 3 4 3 7" xfId="12655"/>
    <cellStyle name="표준 2 2 2 3 4 4" xfId="4730"/>
    <cellStyle name="표준 2 2 2 3 4 4 2" xfId="9607"/>
    <cellStyle name="표준 2 2 2 3 4 4 2 2" xfId="20855"/>
    <cellStyle name="표준 2 2 2 3 4 4 3" xfId="7169"/>
    <cellStyle name="표준 2 2 2 3 4 4 3 2" xfId="18417"/>
    <cellStyle name="표준 2 2 2 3 4 4 4" xfId="15979"/>
    <cellStyle name="표준 2 2 2 3 4 5" xfId="8617"/>
    <cellStyle name="표준 2 2 2 3 4 5 2" xfId="19865"/>
    <cellStyle name="표준 2 2 2 3 4 6" xfId="6179"/>
    <cellStyle name="표준 2 2 2 3 4 6 2" xfId="17427"/>
    <cellStyle name="표준 2 2 2 3 4 7" xfId="10930"/>
    <cellStyle name="표준 2 2 2 3 4 7 2" xfId="22177"/>
    <cellStyle name="표준 2 2 2 3 4 8" xfId="3738"/>
    <cellStyle name="표준 2 2 2 3 4 8 2" xfId="14989"/>
    <cellStyle name="표준 2 2 2 3 4 9" xfId="1901"/>
    <cellStyle name="표준 2 2 2 3 4 9 2" xfId="13328"/>
    <cellStyle name="표준 2 2 2 3 5" xfId="403"/>
    <cellStyle name="표준 2 2 2 3 5 2" xfId="1501"/>
    <cellStyle name="표준 2 2 2 3 5 2 2" xfId="5287"/>
    <cellStyle name="표준 2 2 2 3 5 2 2 2" xfId="10164"/>
    <cellStyle name="표준 2 2 2 3 5 2 2 2 2" xfId="21412"/>
    <cellStyle name="표준 2 2 2 3 5 2 2 3" xfId="7726"/>
    <cellStyle name="표준 2 2 2 3 5 2 2 3 2" xfId="18974"/>
    <cellStyle name="표준 2 2 2 3 5 2 2 4" xfId="16536"/>
    <cellStyle name="표준 2 2 2 3 5 2 3" xfId="9174"/>
    <cellStyle name="표준 2 2 2 3 5 2 3 2" xfId="20422"/>
    <cellStyle name="표준 2 2 2 3 5 2 4" xfId="6736"/>
    <cellStyle name="표준 2 2 2 3 5 2 4 2" xfId="17984"/>
    <cellStyle name="표준 2 2 2 3 5 2 5" xfId="4295"/>
    <cellStyle name="표준 2 2 2 3 5 2 5 2" xfId="15546"/>
    <cellStyle name="표준 2 2 2 3 5 2 6" xfId="3113"/>
    <cellStyle name="표준 2 2 2 3 5 2 6 2" xfId="14391"/>
    <cellStyle name="표준 2 2 2 3 5 2 7" xfId="12931"/>
    <cellStyle name="표준 2 2 2 3 5 3" xfId="1106"/>
    <cellStyle name="표준 2 2 2 3 5 3 2" xfId="9711"/>
    <cellStyle name="표준 2 2 2 3 5 3 2 2" xfId="20959"/>
    <cellStyle name="표준 2 2 2 3 5 3 3" xfId="7273"/>
    <cellStyle name="표준 2 2 2 3 5 3 3 2" xfId="18521"/>
    <cellStyle name="표준 2 2 2 3 5 3 4" xfId="4834"/>
    <cellStyle name="표준 2 2 2 3 5 3 4 2" xfId="16083"/>
    <cellStyle name="표준 2 2 2 3 5 3 5" xfId="2727"/>
    <cellStyle name="표준 2 2 2 3 5 3 5 2" xfId="14005"/>
    <cellStyle name="표준 2 2 2 3 5 3 6" xfId="12545"/>
    <cellStyle name="표준 2 2 2 3 5 4" xfId="8721"/>
    <cellStyle name="표준 2 2 2 3 5 4 2" xfId="19969"/>
    <cellStyle name="표준 2 2 2 3 5 5" xfId="6283"/>
    <cellStyle name="표준 2 2 2 3 5 5 2" xfId="17531"/>
    <cellStyle name="표준 2 2 2 3 5 6" xfId="3842"/>
    <cellStyle name="표준 2 2 2 3 5 6 2" xfId="15093"/>
    <cellStyle name="표준 2 2 2 3 5 7" xfId="2075"/>
    <cellStyle name="표준 2 2 2 3 5 7 2" xfId="13502"/>
    <cellStyle name="표준 2 2 2 3 5 8" xfId="12042"/>
    <cellStyle name="표준 2 2 2 3 6" xfId="334"/>
    <cellStyle name="표준 2 2 2 3 6 2" xfId="1701"/>
    <cellStyle name="표준 2 2 2 3 6 2 2" xfId="9937"/>
    <cellStyle name="표준 2 2 2 3 6 2 2 2" xfId="21185"/>
    <cellStyle name="표준 2 2 2 3 6 2 3" xfId="7499"/>
    <cellStyle name="표준 2 2 2 3 6 2 3 2" xfId="18747"/>
    <cellStyle name="표준 2 2 2 3 6 2 4" xfId="5060"/>
    <cellStyle name="표준 2 2 2 3 6 2 4 2" xfId="16309"/>
    <cellStyle name="표준 2 2 2 3 6 2 5" xfId="3313"/>
    <cellStyle name="표준 2 2 2 3 6 2 5 2" xfId="14591"/>
    <cellStyle name="표준 2 2 2 3 6 2 6" xfId="13131"/>
    <cellStyle name="표준 2 2 2 3 6 3" xfId="1319"/>
    <cellStyle name="표준 2 2 2 3 6 3 2" xfId="8947"/>
    <cellStyle name="표준 2 2 2 3 6 3 2 2" xfId="20195"/>
    <cellStyle name="표준 2 2 2 3 6 3 3" xfId="2940"/>
    <cellStyle name="표준 2 2 2 3 6 3 3 2" xfId="14218"/>
    <cellStyle name="표준 2 2 2 3 6 3 4" xfId="12758"/>
    <cellStyle name="표준 2 2 2 3 6 4" xfId="6509"/>
    <cellStyle name="표준 2 2 2 3 6 4 2" xfId="17757"/>
    <cellStyle name="표준 2 2 2 3 6 5" xfId="4068"/>
    <cellStyle name="표준 2 2 2 3 6 5 2" xfId="15319"/>
    <cellStyle name="표준 2 2 2 3 6 6" xfId="2006"/>
    <cellStyle name="표준 2 2 2 3 6 6 2" xfId="13433"/>
    <cellStyle name="표준 2 2 2 3 6 7" xfId="11973"/>
    <cellStyle name="표준 2 2 2 3 7" xfId="627"/>
    <cellStyle name="표준 2 2 2 3 7 2" xfId="1409"/>
    <cellStyle name="표준 2 2 2 3 7 2 2" xfId="10380"/>
    <cellStyle name="표준 2 2 2 3 7 2 2 2" xfId="21628"/>
    <cellStyle name="표준 2 2 2 3 7 2 3" xfId="7942"/>
    <cellStyle name="표준 2 2 2 3 7 2 3 2" xfId="19190"/>
    <cellStyle name="표준 2 2 2 3 7 2 4" xfId="5503"/>
    <cellStyle name="표준 2 2 2 3 7 2 4 2" xfId="16752"/>
    <cellStyle name="표준 2 2 2 3 7 2 5" xfId="3023"/>
    <cellStyle name="표준 2 2 2 3 7 2 5 2" xfId="14301"/>
    <cellStyle name="표준 2 2 2 3 7 2 6" xfId="12841"/>
    <cellStyle name="표준 2 2 2 3 7 3" xfId="9390"/>
    <cellStyle name="표준 2 2 2 3 7 3 2" xfId="20638"/>
    <cellStyle name="표준 2 2 2 3 7 4" xfId="6952"/>
    <cellStyle name="표준 2 2 2 3 7 4 2" xfId="18200"/>
    <cellStyle name="표준 2 2 2 3 7 5" xfId="4513"/>
    <cellStyle name="표준 2 2 2 3 7 5 2" xfId="15762"/>
    <cellStyle name="표준 2 2 2 3 7 6" xfId="2299"/>
    <cellStyle name="표준 2 2 2 3 7 6 2" xfId="13718"/>
    <cellStyle name="표준 2 2 2 3 7 7" xfId="12258"/>
    <cellStyle name="표준 2 2 2 3 8" xfId="1037"/>
    <cellStyle name="표준 2 2 2 3 8 2" xfId="9485"/>
    <cellStyle name="표준 2 2 2 3 8 2 2" xfId="20733"/>
    <cellStyle name="표준 2 2 2 3 8 3" xfId="7047"/>
    <cellStyle name="표준 2 2 2 3 8 3 2" xfId="18295"/>
    <cellStyle name="표준 2 2 2 3 8 4" xfId="4608"/>
    <cellStyle name="표준 2 2 2 3 8 4 2" xfId="15857"/>
    <cellStyle name="표준 2 2 2 3 8 5" xfId="2658"/>
    <cellStyle name="표준 2 2 2 3 8 5 2" xfId="13936"/>
    <cellStyle name="표준 2 2 2 3 8 6" xfId="12476"/>
    <cellStyle name="표준 2 2 2 3 9" xfId="973"/>
    <cellStyle name="표준 2 2 2 3 9 2" xfId="10464"/>
    <cellStyle name="표준 2 2 2 3 9 2 2" xfId="21712"/>
    <cellStyle name="표준 2 2 2 3 9 3" xfId="8026"/>
    <cellStyle name="표준 2 2 2 3 9 3 2" xfId="19274"/>
    <cellStyle name="표준 2 2 2 3 9 4" xfId="5587"/>
    <cellStyle name="표준 2 2 2 3 9 4 2" xfId="16836"/>
    <cellStyle name="표준 2 2 2 3 9 5" xfId="2595"/>
    <cellStyle name="표준 2 2 2 3 9 5 2" xfId="13873"/>
    <cellStyle name="표준 2 2 2 3 9 6" xfId="12413"/>
    <cellStyle name="표준 2 2 2 4" xfId="92"/>
    <cellStyle name="표준 2 2 2 4 10" xfId="5778"/>
    <cellStyle name="표준 2 2 2 4 10 2" xfId="10655"/>
    <cellStyle name="표준 2 2 2 4 10 2 2" xfId="21903"/>
    <cellStyle name="표준 2 2 2 4 10 3" xfId="8217"/>
    <cellStyle name="표준 2 2 2 4 10 3 2" xfId="19465"/>
    <cellStyle name="표준 2 2 2 4 10 4" xfId="17027"/>
    <cellStyle name="표준 2 2 2 4 11" xfId="3581"/>
    <cellStyle name="표준 2 2 2 4 11 2" xfId="8480"/>
    <cellStyle name="표준 2 2 2 4 11 2 2" xfId="19728"/>
    <cellStyle name="표준 2 2 2 4 11 3" xfId="6042"/>
    <cellStyle name="표준 2 2 2 4 11 3 2" xfId="17290"/>
    <cellStyle name="표준 2 2 2 4 11 4" xfId="14852"/>
    <cellStyle name="표준 2 2 2 4 12" xfId="8301"/>
    <cellStyle name="표준 2 2 2 4 12 2" xfId="19549"/>
    <cellStyle name="표준 2 2 2 4 13" xfId="5863"/>
    <cellStyle name="표준 2 2 2 4 13 2" xfId="17111"/>
    <cellStyle name="표준 2 2 2 4 14" xfId="10747"/>
    <cellStyle name="표준 2 2 2 4 14 2" xfId="21995"/>
    <cellStyle name="표준 2 2 2 4 15" xfId="3395"/>
    <cellStyle name="표준 2 2 2 4 15 2" xfId="14673"/>
    <cellStyle name="표준 2 2 2 4 16" xfId="1808"/>
    <cellStyle name="표준 2 2 2 4 16 2" xfId="13237"/>
    <cellStyle name="표준 2 2 2 4 17" xfId="11777"/>
    <cellStyle name="표준 2 2 2 4 2" xfId="174"/>
    <cellStyle name="표준 2 2 2 4 2 10" xfId="1848"/>
    <cellStyle name="표준 2 2 2 4 2 10 2" xfId="13275"/>
    <cellStyle name="표준 2 2 2 4 2 11" xfId="11815"/>
    <cellStyle name="표준 2 2 2 4 2 2" xfId="286"/>
    <cellStyle name="표준 2 2 2 4 2 2 2" xfId="570"/>
    <cellStyle name="표준 2 2 2 4 2 2 2 2" xfId="1658"/>
    <cellStyle name="표준 2 2 2 4 2 2 2 2 2" xfId="10202"/>
    <cellStyle name="표준 2 2 2 4 2 2 2 2 2 2" xfId="21450"/>
    <cellStyle name="표준 2 2 2 4 2 2 2 2 3" xfId="7764"/>
    <cellStyle name="표준 2 2 2 4 2 2 2 2 3 2" xfId="19012"/>
    <cellStyle name="표준 2 2 2 4 2 2 2 2 4" xfId="5325"/>
    <cellStyle name="표준 2 2 2 4 2 2 2 2 4 2" xfId="16574"/>
    <cellStyle name="표준 2 2 2 4 2 2 2 2 5" xfId="3270"/>
    <cellStyle name="표준 2 2 2 4 2 2 2 2 5 2" xfId="14548"/>
    <cellStyle name="표준 2 2 2 4 2 2 2 2 6" xfId="13088"/>
    <cellStyle name="표준 2 2 2 4 2 2 2 3" xfId="9212"/>
    <cellStyle name="표준 2 2 2 4 2 2 2 3 2" xfId="20460"/>
    <cellStyle name="표준 2 2 2 4 2 2 2 4" xfId="6774"/>
    <cellStyle name="표준 2 2 2 4 2 2 2 4 2" xfId="18022"/>
    <cellStyle name="표준 2 2 2 4 2 2 2 5" xfId="4333"/>
    <cellStyle name="표준 2 2 2 4 2 2 2 5 2" xfId="15584"/>
    <cellStyle name="표준 2 2 2 4 2 2 2 6" xfId="2242"/>
    <cellStyle name="표준 2 2 2 4 2 2 2 6 2" xfId="13669"/>
    <cellStyle name="표준 2 2 2 4 2 2 2 7" xfId="12209"/>
    <cellStyle name="표준 2 2 2 4 2 2 3" xfId="1273"/>
    <cellStyle name="표준 2 2 2 4 2 2 3 2" xfId="9749"/>
    <cellStyle name="표준 2 2 2 4 2 2 3 2 2" xfId="20997"/>
    <cellStyle name="표준 2 2 2 4 2 2 3 3" xfId="7311"/>
    <cellStyle name="표준 2 2 2 4 2 2 3 3 2" xfId="18559"/>
    <cellStyle name="표준 2 2 2 4 2 2 3 4" xfId="4872"/>
    <cellStyle name="표준 2 2 2 4 2 2 3 4 2" xfId="16121"/>
    <cellStyle name="표준 2 2 2 4 2 2 3 5" xfId="2894"/>
    <cellStyle name="표준 2 2 2 4 2 2 3 5 2" xfId="14172"/>
    <cellStyle name="표준 2 2 2 4 2 2 3 6" xfId="12712"/>
    <cellStyle name="표준 2 2 2 4 2 2 4" xfId="8759"/>
    <cellStyle name="표준 2 2 2 4 2 2 4 2" xfId="20007"/>
    <cellStyle name="표준 2 2 2 4 2 2 5" xfId="6321"/>
    <cellStyle name="표준 2 2 2 4 2 2 5 2" xfId="17569"/>
    <cellStyle name="표준 2 2 2 4 2 2 6" xfId="11015"/>
    <cellStyle name="표준 2 2 2 4 2 2 6 2" xfId="22262"/>
    <cellStyle name="표준 2 2 2 4 2 2 7" xfId="3880"/>
    <cellStyle name="표준 2 2 2 4 2 2 7 2" xfId="15131"/>
    <cellStyle name="표준 2 2 2 4 2 2 8" xfId="1958"/>
    <cellStyle name="표준 2 2 2 4 2 2 8 2" xfId="13385"/>
    <cellStyle name="표준 2 2 2 4 2 2 9" xfId="11925"/>
    <cellStyle name="표준 2 2 2 4 2 3" xfId="460"/>
    <cellStyle name="표준 2 2 2 4 2 3 2" xfId="1553"/>
    <cellStyle name="표준 2 2 2 4 2 3 2 2" xfId="9975"/>
    <cellStyle name="표준 2 2 2 4 2 3 2 2 2" xfId="21223"/>
    <cellStyle name="표준 2 2 2 4 2 3 2 3" xfId="7537"/>
    <cellStyle name="표준 2 2 2 4 2 3 2 3 2" xfId="18785"/>
    <cellStyle name="표준 2 2 2 4 2 3 2 4" xfId="5098"/>
    <cellStyle name="표준 2 2 2 4 2 3 2 4 2" xfId="16347"/>
    <cellStyle name="표준 2 2 2 4 2 3 2 5" xfId="3165"/>
    <cellStyle name="표준 2 2 2 4 2 3 2 5 2" xfId="14443"/>
    <cellStyle name="표준 2 2 2 4 2 3 2 6" xfId="12983"/>
    <cellStyle name="표준 2 2 2 4 2 3 3" xfId="8985"/>
    <cellStyle name="표준 2 2 2 4 2 3 3 2" xfId="20233"/>
    <cellStyle name="표준 2 2 2 4 2 3 4" xfId="6547"/>
    <cellStyle name="표준 2 2 2 4 2 3 4 2" xfId="17795"/>
    <cellStyle name="표준 2 2 2 4 2 3 5" xfId="4106"/>
    <cellStyle name="표준 2 2 2 4 2 3 5 2" xfId="15357"/>
    <cellStyle name="표준 2 2 2 4 2 3 6" xfId="2132"/>
    <cellStyle name="표준 2 2 2 4 2 3 6 2" xfId="13559"/>
    <cellStyle name="표준 2 2 2 4 2 3 7" xfId="12099"/>
    <cellStyle name="표준 2 2 2 4 2 4" xfId="758"/>
    <cellStyle name="표준 2 2 2 4 2 4 2" xfId="9523"/>
    <cellStyle name="표준 2 2 2 4 2 4 2 2" xfId="20771"/>
    <cellStyle name="표준 2 2 2 4 2 4 3" xfId="7085"/>
    <cellStyle name="표준 2 2 2 4 2 4 3 2" xfId="18333"/>
    <cellStyle name="표준 2 2 2 4 2 4 4" xfId="4646"/>
    <cellStyle name="표준 2 2 2 4 2 4 4 2" xfId="15895"/>
    <cellStyle name="표준 2 2 2 4 2 4 5" xfId="2385"/>
    <cellStyle name="표준 2 2 2 4 2 4 5 2" xfId="13780"/>
    <cellStyle name="표준 2 2 2 4 2 4 6" xfId="12320"/>
    <cellStyle name="표준 2 2 2 4 2 5" xfId="1163"/>
    <cellStyle name="표준 2 2 2 4 2 5 2" xfId="8563"/>
    <cellStyle name="표준 2 2 2 4 2 5 2 2" xfId="19811"/>
    <cellStyle name="표준 2 2 2 4 2 5 3" xfId="6125"/>
    <cellStyle name="표준 2 2 2 4 2 5 3 2" xfId="17373"/>
    <cellStyle name="표준 2 2 2 4 2 5 4" xfId="3684"/>
    <cellStyle name="표준 2 2 2 4 2 5 4 2" xfId="14935"/>
    <cellStyle name="표준 2 2 2 4 2 5 5" xfId="2784"/>
    <cellStyle name="표준 2 2 2 4 2 5 5 2" xfId="14062"/>
    <cellStyle name="표준 2 2 2 4 2 5 6" xfId="12602"/>
    <cellStyle name="표준 2 2 2 4 2 6" xfId="8384"/>
    <cellStyle name="표준 2 2 2 4 2 6 2" xfId="19632"/>
    <cellStyle name="표준 2 2 2 4 2 7" xfId="5946"/>
    <cellStyle name="표준 2 2 2 4 2 7 2" xfId="17194"/>
    <cellStyle name="표준 2 2 2 4 2 8" xfId="10830"/>
    <cellStyle name="표준 2 2 2 4 2 8 2" xfId="22078"/>
    <cellStyle name="표준 2 2 2 4 2 9" xfId="3484"/>
    <cellStyle name="표준 2 2 2 4 2 9 2" xfId="14756"/>
    <cellStyle name="표준 2 2 2 4 3" xfId="248"/>
    <cellStyle name="표준 2 2 2 4 3 10" xfId="11887"/>
    <cellStyle name="표준 2 2 2 4 3 2" xfId="532"/>
    <cellStyle name="표준 2 2 2 4 3 2 2" xfId="1620"/>
    <cellStyle name="표준 2 2 2 4 3 2 2 2" xfId="5411"/>
    <cellStyle name="표준 2 2 2 4 3 2 2 2 2" xfId="10288"/>
    <cellStyle name="표준 2 2 2 4 3 2 2 2 2 2" xfId="21536"/>
    <cellStyle name="표준 2 2 2 4 3 2 2 2 3" xfId="7850"/>
    <cellStyle name="표준 2 2 2 4 3 2 2 2 3 2" xfId="19098"/>
    <cellStyle name="표준 2 2 2 4 3 2 2 2 4" xfId="16660"/>
    <cellStyle name="표준 2 2 2 4 3 2 2 3" xfId="9298"/>
    <cellStyle name="표준 2 2 2 4 3 2 2 3 2" xfId="20546"/>
    <cellStyle name="표준 2 2 2 4 3 2 2 4" xfId="6860"/>
    <cellStyle name="표준 2 2 2 4 3 2 2 4 2" xfId="18108"/>
    <cellStyle name="표준 2 2 2 4 3 2 2 5" xfId="4419"/>
    <cellStyle name="표준 2 2 2 4 3 2 2 5 2" xfId="15670"/>
    <cellStyle name="표준 2 2 2 4 3 2 2 6" xfId="3232"/>
    <cellStyle name="표준 2 2 2 4 3 2 2 6 2" xfId="14510"/>
    <cellStyle name="표준 2 2 2 4 3 2 2 7" xfId="13050"/>
    <cellStyle name="표준 2 2 2 4 3 2 3" xfId="4958"/>
    <cellStyle name="표준 2 2 2 4 3 2 3 2" xfId="9835"/>
    <cellStyle name="표준 2 2 2 4 3 2 3 2 2" xfId="21083"/>
    <cellStyle name="표준 2 2 2 4 3 2 3 3" xfId="7397"/>
    <cellStyle name="표준 2 2 2 4 3 2 3 3 2" xfId="18645"/>
    <cellStyle name="표준 2 2 2 4 3 2 3 4" xfId="16207"/>
    <cellStyle name="표준 2 2 2 4 3 2 4" xfId="8845"/>
    <cellStyle name="표준 2 2 2 4 3 2 4 2" xfId="20093"/>
    <cellStyle name="표준 2 2 2 4 3 2 5" xfId="6407"/>
    <cellStyle name="표준 2 2 2 4 3 2 5 2" xfId="17655"/>
    <cellStyle name="표준 2 2 2 4 3 2 6" xfId="3966"/>
    <cellStyle name="표준 2 2 2 4 3 2 6 2" xfId="15217"/>
    <cellStyle name="표준 2 2 2 4 3 2 7" xfId="2204"/>
    <cellStyle name="표준 2 2 2 4 3 2 7 2" xfId="13631"/>
    <cellStyle name="표준 2 2 2 4 3 2 8" xfId="12171"/>
    <cellStyle name="표준 2 2 2 4 3 3" xfId="1235"/>
    <cellStyle name="표준 2 2 2 4 3 3 2" xfId="5184"/>
    <cellStyle name="표준 2 2 2 4 3 3 2 2" xfId="10061"/>
    <cellStyle name="표준 2 2 2 4 3 3 2 2 2" xfId="21309"/>
    <cellStyle name="표준 2 2 2 4 3 3 2 3" xfId="7623"/>
    <cellStyle name="표준 2 2 2 4 3 3 2 3 2" xfId="18871"/>
    <cellStyle name="표준 2 2 2 4 3 3 2 4" xfId="16433"/>
    <cellStyle name="표준 2 2 2 4 3 3 3" xfId="9071"/>
    <cellStyle name="표준 2 2 2 4 3 3 3 2" xfId="20319"/>
    <cellStyle name="표준 2 2 2 4 3 3 4" xfId="6633"/>
    <cellStyle name="표준 2 2 2 4 3 3 4 2" xfId="17881"/>
    <cellStyle name="표준 2 2 2 4 3 3 5" xfId="4192"/>
    <cellStyle name="표준 2 2 2 4 3 3 5 2" xfId="15443"/>
    <cellStyle name="표준 2 2 2 4 3 3 6" xfId="2856"/>
    <cellStyle name="표준 2 2 2 4 3 3 6 2" xfId="14134"/>
    <cellStyle name="표준 2 2 2 4 3 3 7" xfId="12674"/>
    <cellStyle name="표준 2 2 2 4 3 4" xfId="4732"/>
    <cellStyle name="표준 2 2 2 4 3 4 2" xfId="9609"/>
    <cellStyle name="표준 2 2 2 4 3 4 2 2" xfId="20857"/>
    <cellStyle name="표준 2 2 2 4 3 4 3" xfId="7171"/>
    <cellStyle name="표준 2 2 2 4 3 4 3 2" xfId="18419"/>
    <cellStyle name="표준 2 2 2 4 3 4 4" xfId="15981"/>
    <cellStyle name="표준 2 2 2 4 3 5" xfId="8619"/>
    <cellStyle name="표준 2 2 2 4 3 5 2" xfId="19867"/>
    <cellStyle name="표준 2 2 2 4 3 6" xfId="6181"/>
    <cellStyle name="표준 2 2 2 4 3 6 2" xfId="17429"/>
    <cellStyle name="표준 2 2 2 4 3 7" xfId="10932"/>
    <cellStyle name="표준 2 2 2 4 3 7 2" xfId="22179"/>
    <cellStyle name="표준 2 2 2 4 3 8" xfId="3740"/>
    <cellStyle name="표준 2 2 2 4 3 8 2" xfId="14991"/>
    <cellStyle name="표준 2 2 2 4 3 9" xfId="1920"/>
    <cellStyle name="표준 2 2 2 4 3 9 2" xfId="13347"/>
    <cellStyle name="표준 2 2 2 4 4" xfId="422"/>
    <cellStyle name="표준 2 2 2 4 4 2" xfId="1520"/>
    <cellStyle name="표준 2 2 2 4 4 2 2" xfId="5304"/>
    <cellStyle name="표준 2 2 2 4 4 2 2 2" xfId="10181"/>
    <cellStyle name="표준 2 2 2 4 4 2 2 2 2" xfId="21429"/>
    <cellStyle name="표준 2 2 2 4 4 2 2 3" xfId="7743"/>
    <cellStyle name="표준 2 2 2 4 4 2 2 3 2" xfId="18991"/>
    <cellStyle name="표준 2 2 2 4 4 2 2 4" xfId="16553"/>
    <cellStyle name="표준 2 2 2 4 4 2 3" xfId="9191"/>
    <cellStyle name="표준 2 2 2 4 4 2 3 2" xfId="20439"/>
    <cellStyle name="표준 2 2 2 4 4 2 4" xfId="6753"/>
    <cellStyle name="표준 2 2 2 4 4 2 4 2" xfId="18001"/>
    <cellStyle name="표준 2 2 2 4 4 2 5" xfId="4312"/>
    <cellStyle name="표준 2 2 2 4 4 2 5 2" xfId="15563"/>
    <cellStyle name="표준 2 2 2 4 4 2 6" xfId="3132"/>
    <cellStyle name="표준 2 2 2 4 4 2 6 2" xfId="14410"/>
    <cellStyle name="표준 2 2 2 4 4 2 7" xfId="12950"/>
    <cellStyle name="표준 2 2 2 4 4 3" xfId="1125"/>
    <cellStyle name="표준 2 2 2 4 4 3 2" xfId="9728"/>
    <cellStyle name="표준 2 2 2 4 4 3 2 2" xfId="20976"/>
    <cellStyle name="표준 2 2 2 4 4 3 3" xfId="7290"/>
    <cellStyle name="표준 2 2 2 4 4 3 3 2" xfId="18538"/>
    <cellStyle name="표준 2 2 2 4 4 3 4" xfId="4851"/>
    <cellStyle name="표준 2 2 2 4 4 3 4 2" xfId="16100"/>
    <cellStyle name="표준 2 2 2 4 4 3 5" xfId="2746"/>
    <cellStyle name="표준 2 2 2 4 4 3 5 2" xfId="14024"/>
    <cellStyle name="표준 2 2 2 4 4 3 6" xfId="12564"/>
    <cellStyle name="표준 2 2 2 4 4 4" xfId="8738"/>
    <cellStyle name="표준 2 2 2 4 4 4 2" xfId="19986"/>
    <cellStyle name="표준 2 2 2 4 4 5" xfId="6300"/>
    <cellStyle name="표준 2 2 2 4 4 5 2" xfId="17548"/>
    <cellStyle name="표준 2 2 2 4 4 6" xfId="3859"/>
    <cellStyle name="표준 2 2 2 4 4 6 2" xfId="15110"/>
    <cellStyle name="표준 2 2 2 4 4 7" xfId="2094"/>
    <cellStyle name="표준 2 2 2 4 4 7 2" xfId="13521"/>
    <cellStyle name="표준 2 2 2 4 4 8" xfId="12061"/>
    <cellStyle name="표준 2 2 2 4 5" xfId="350"/>
    <cellStyle name="표준 2 2 2 4 5 2" xfId="1703"/>
    <cellStyle name="표준 2 2 2 4 5 2 2" xfId="9954"/>
    <cellStyle name="표준 2 2 2 4 5 2 2 2" xfId="21202"/>
    <cellStyle name="표준 2 2 2 4 5 2 3" xfId="7516"/>
    <cellStyle name="표준 2 2 2 4 5 2 3 2" xfId="18764"/>
    <cellStyle name="표준 2 2 2 4 5 2 4" xfId="5077"/>
    <cellStyle name="표준 2 2 2 4 5 2 4 2" xfId="16326"/>
    <cellStyle name="표준 2 2 2 4 5 2 5" xfId="3315"/>
    <cellStyle name="표준 2 2 2 4 5 2 5 2" xfId="14593"/>
    <cellStyle name="표준 2 2 2 4 5 2 6" xfId="13133"/>
    <cellStyle name="표준 2 2 2 4 5 3" xfId="1321"/>
    <cellStyle name="표준 2 2 2 4 5 3 2" xfId="8964"/>
    <cellStyle name="표준 2 2 2 4 5 3 2 2" xfId="20212"/>
    <cellStyle name="표준 2 2 2 4 5 3 3" xfId="2942"/>
    <cellStyle name="표준 2 2 2 4 5 3 3 2" xfId="14220"/>
    <cellStyle name="표준 2 2 2 4 5 3 4" xfId="12760"/>
    <cellStyle name="표준 2 2 2 4 5 4" xfId="6526"/>
    <cellStyle name="표준 2 2 2 4 5 4 2" xfId="17774"/>
    <cellStyle name="표준 2 2 2 4 5 5" xfId="4085"/>
    <cellStyle name="표준 2 2 2 4 5 5 2" xfId="15336"/>
    <cellStyle name="표준 2 2 2 4 5 6" xfId="2022"/>
    <cellStyle name="표준 2 2 2 4 5 6 2" xfId="13449"/>
    <cellStyle name="표준 2 2 2 4 5 7" xfId="11989"/>
    <cellStyle name="표준 2 2 2 4 6" xfId="691"/>
    <cellStyle name="표준 2 2 2 4 6 2" xfId="1411"/>
    <cellStyle name="표준 2 2 2 4 6 2 2" xfId="10382"/>
    <cellStyle name="표준 2 2 2 4 6 2 2 2" xfId="21630"/>
    <cellStyle name="표준 2 2 2 4 6 2 3" xfId="7944"/>
    <cellStyle name="표준 2 2 2 4 6 2 3 2" xfId="19192"/>
    <cellStyle name="표준 2 2 2 4 6 2 4" xfId="5505"/>
    <cellStyle name="표준 2 2 2 4 6 2 4 2" xfId="16754"/>
    <cellStyle name="표준 2 2 2 4 6 2 5" xfId="3025"/>
    <cellStyle name="표준 2 2 2 4 6 2 5 2" xfId="14303"/>
    <cellStyle name="표준 2 2 2 4 6 2 6" xfId="12843"/>
    <cellStyle name="표준 2 2 2 4 6 3" xfId="9392"/>
    <cellStyle name="표준 2 2 2 4 6 3 2" xfId="20640"/>
    <cellStyle name="표준 2 2 2 4 6 4" xfId="6954"/>
    <cellStyle name="표준 2 2 2 4 6 4 2" xfId="18202"/>
    <cellStyle name="표준 2 2 2 4 6 5" xfId="4515"/>
    <cellStyle name="표준 2 2 2 4 6 5 2" xfId="15764"/>
    <cellStyle name="표준 2 2 2 4 6 6" xfId="2323"/>
    <cellStyle name="표준 2 2 2 4 6 6 2" xfId="13736"/>
    <cellStyle name="표준 2 2 2 4 6 7" xfId="12276"/>
    <cellStyle name="표준 2 2 2 4 7" xfId="1053"/>
    <cellStyle name="표준 2 2 2 4 7 2" xfId="9502"/>
    <cellStyle name="표준 2 2 2 4 7 2 2" xfId="20750"/>
    <cellStyle name="표준 2 2 2 4 7 3" xfId="7064"/>
    <cellStyle name="표준 2 2 2 4 7 3 2" xfId="18312"/>
    <cellStyle name="표준 2 2 2 4 7 4" xfId="4625"/>
    <cellStyle name="표준 2 2 2 4 7 4 2" xfId="15874"/>
    <cellStyle name="표준 2 2 2 4 7 5" xfId="2674"/>
    <cellStyle name="표준 2 2 2 4 7 5 2" xfId="13952"/>
    <cellStyle name="표준 2 2 2 4 7 6" xfId="12492"/>
    <cellStyle name="표준 2 2 2 4 8" xfId="989"/>
    <cellStyle name="표준 2 2 2 4 8 2" xfId="10466"/>
    <cellStyle name="표준 2 2 2 4 8 2 2" xfId="21714"/>
    <cellStyle name="표준 2 2 2 4 8 3" xfId="8028"/>
    <cellStyle name="표준 2 2 2 4 8 3 2" xfId="19276"/>
    <cellStyle name="표준 2 2 2 4 8 4" xfId="5589"/>
    <cellStyle name="표준 2 2 2 4 8 4 2" xfId="16838"/>
    <cellStyle name="표준 2 2 2 4 8 5" xfId="2610"/>
    <cellStyle name="표준 2 2 2 4 8 5 2" xfId="13888"/>
    <cellStyle name="표준 2 2 2 4 8 6" xfId="12428"/>
    <cellStyle name="표준 2 2 2 4 9" xfId="5695"/>
    <cellStyle name="표준 2 2 2 4 9 2" xfId="10572"/>
    <cellStyle name="표준 2 2 2 4 9 2 2" xfId="21820"/>
    <cellStyle name="표준 2 2 2 4 9 3" xfId="8134"/>
    <cellStyle name="표준 2 2 2 4 9 3 2" xfId="19382"/>
    <cellStyle name="표준 2 2 2 4 9 4" xfId="16944"/>
    <cellStyle name="표준 2 2 2 5" xfId="100"/>
    <cellStyle name="표준 2 2 2 5 10" xfId="1816"/>
    <cellStyle name="표준 2 2 2 5 10 2" xfId="13245"/>
    <cellStyle name="표준 2 2 2 5 11" xfId="11785"/>
    <cellStyle name="표준 2 2 2 5 2" xfId="256"/>
    <cellStyle name="표준 2 2 2 5 2 2" xfId="540"/>
    <cellStyle name="표준 2 2 2 5 2 2 2" xfId="1628"/>
    <cellStyle name="표준 2 2 2 5 2 2 2 2" xfId="10198"/>
    <cellStyle name="표준 2 2 2 5 2 2 2 2 2" xfId="21446"/>
    <cellStyle name="표준 2 2 2 5 2 2 2 3" xfId="7760"/>
    <cellStyle name="표준 2 2 2 5 2 2 2 3 2" xfId="19008"/>
    <cellStyle name="표준 2 2 2 5 2 2 2 4" xfId="5321"/>
    <cellStyle name="표준 2 2 2 5 2 2 2 4 2" xfId="16570"/>
    <cellStyle name="표준 2 2 2 5 2 2 2 5" xfId="3240"/>
    <cellStyle name="표준 2 2 2 5 2 2 2 5 2" xfId="14518"/>
    <cellStyle name="표준 2 2 2 5 2 2 2 6" xfId="13058"/>
    <cellStyle name="표준 2 2 2 5 2 2 3" xfId="9208"/>
    <cellStyle name="표준 2 2 2 5 2 2 3 2" xfId="20456"/>
    <cellStyle name="표준 2 2 2 5 2 2 4" xfId="6770"/>
    <cellStyle name="표준 2 2 2 5 2 2 4 2" xfId="18018"/>
    <cellStyle name="표준 2 2 2 5 2 2 5" xfId="4329"/>
    <cellStyle name="표준 2 2 2 5 2 2 5 2" xfId="15580"/>
    <cellStyle name="표준 2 2 2 5 2 2 6" xfId="2212"/>
    <cellStyle name="표준 2 2 2 5 2 2 6 2" xfId="13639"/>
    <cellStyle name="표준 2 2 2 5 2 2 7" xfId="12179"/>
    <cellStyle name="표준 2 2 2 5 2 3" xfId="1243"/>
    <cellStyle name="표준 2 2 2 5 2 3 2" xfId="9745"/>
    <cellStyle name="표준 2 2 2 5 2 3 2 2" xfId="20993"/>
    <cellStyle name="표준 2 2 2 5 2 3 3" xfId="7307"/>
    <cellStyle name="표준 2 2 2 5 2 3 3 2" xfId="18555"/>
    <cellStyle name="표준 2 2 2 5 2 3 4" xfId="4868"/>
    <cellStyle name="표준 2 2 2 5 2 3 4 2" xfId="16117"/>
    <cellStyle name="표준 2 2 2 5 2 3 5" xfId="2864"/>
    <cellStyle name="표준 2 2 2 5 2 3 5 2" xfId="14142"/>
    <cellStyle name="표준 2 2 2 5 2 3 6" xfId="12682"/>
    <cellStyle name="표준 2 2 2 5 2 4" xfId="8755"/>
    <cellStyle name="표준 2 2 2 5 2 4 2" xfId="20003"/>
    <cellStyle name="표준 2 2 2 5 2 5" xfId="6317"/>
    <cellStyle name="표준 2 2 2 5 2 5 2" xfId="17565"/>
    <cellStyle name="표준 2 2 2 5 2 6" xfId="11011"/>
    <cellStyle name="표준 2 2 2 5 2 6 2" xfId="22258"/>
    <cellStyle name="표준 2 2 2 5 2 7" xfId="3876"/>
    <cellStyle name="표준 2 2 2 5 2 7 2" xfId="15127"/>
    <cellStyle name="표준 2 2 2 5 2 8" xfId="1928"/>
    <cellStyle name="표준 2 2 2 5 2 8 2" xfId="13355"/>
    <cellStyle name="표준 2 2 2 5 2 9" xfId="11895"/>
    <cellStyle name="표준 2 2 2 5 3" xfId="430"/>
    <cellStyle name="표준 2 2 2 5 3 2" xfId="1523"/>
    <cellStyle name="표준 2 2 2 5 3 2 2" xfId="9971"/>
    <cellStyle name="표준 2 2 2 5 3 2 2 2" xfId="21219"/>
    <cellStyle name="표준 2 2 2 5 3 2 3" xfId="7533"/>
    <cellStyle name="표준 2 2 2 5 3 2 3 2" xfId="18781"/>
    <cellStyle name="표준 2 2 2 5 3 2 4" xfId="5094"/>
    <cellStyle name="표준 2 2 2 5 3 2 4 2" xfId="16343"/>
    <cellStyle name="표준 2 2 2 5 3 2 5" xfId="3135"/>
    <cellStyle name="표준 2 2 2 5 3 2 5 2" xfId="14413"/>
    <cellStyle name="표준 2 2 2 5 3 2 6" xfId="12953"/>
    <cellStyle name="표준 2 2 2 5 3 3" xfId="8981"/>
    <cellStyle name="표준 2 2 2 5 3 3 2" xfId="20229"/>
    <cellStyle name="표준 2 2 2 5 3 4" xfId="6543"/>
    <cellStyle name="표준 2 2 2 5 3 4 2" xfId="17791"/>
    <cellStyle name="표준 2 2 2 5 3 5" xfId="4102"/>
    <cellStyle name="표준 2 2 2 5 3 5 2" xfId="15353"/>
    <cellStyle name="표준 2 2 2 5 3 6" xfId="2102"/>
    <cellStyle name="표준 2 2 2 5 3 6 2" xfId="13529"/>
    <cellStyle name="표준 2 2 2 5 3 7" xfId="12069"/>
    <cellStyle name="표준 2 2 2 5 4" xfId="754"/>
    <cellStyle name="표준 2 2 2 5 4 2" xfId="1133"/>
    <cellStyle name="표준 2 2 2 5 4 2 2" xfId="9519"/>
    <cellStyle name="표준 2 2 2 5 4 2 2 2" xfId="20767"/>
    <cellStyle name="표준 2 2 2 5 4 2 3" xfId="2754"/>
    <cellStyle name="표준 2 2 2 5 4 2 3 2" xfId="14032"/>
    <cellStyle name="표준 2 2 2 5 4 2 4" xfId="12572"/>
    <cellStyle name="표준 2 2 2 5 4 3" xfId="7081"/>
    <cellStyle name="표준 2 2 2 5 4 3 2" xfId="18329"/>
    <cellStyle name="표준 2 2 2 5 4 4" xfId="4642"/>
    <cellStyle name="표준 2 2 2 5 4 4 2" xfId="15891"/>
    <cellStyle name="표준 2 2 2 5 4 5" xfId="2381"/>
    <cellStyle name="표준 2 2 2 5 4 5 2" xfId="13776"/>
    <cellStyle name="표준 2 2 2 5 4 6" xfId="12316"/>
    <cellStyle name="표준 2 2 2 5 5" xfId="959"/>
    <cellStyle name="표준 2 2 2 5 5 2" xfId="8560"/>
    <cellStyle name="표준 2 2 2 5 5 2 2" xfId="19808"/>
    <cellStyle name="표준 2 2 2 5 5 3" xfId="6122"/>
    <cellStyle name="표준 2 2 2 5 5 3 2" xfId="17370"/>
    <cellStyle name="표준 2 2 2 5 5 4" xfId="3681"/>
    <cellStyle name="표준 2 2 2 5 5 4 2" xfId="14932"/>
    <cellStyle name="표준 2 2 2 5 5 5" xfId="2581"/>
    <cellStyle name="표준 2 2 2 5 5 5 2" xfId="13859"/>
    <cellStyle name="표준 2 2 2 5 5 6" xfId="12399"/>
    <cellStyle name="표준 2 2 2 5 6" xfId="8380"/>
    <cellStyle name="표준 2 2 2 5 6 2" xfId="19628"/>
    <cellStyle name="표준 2 2 2 5 7" xfId="5942"/>
    <cellStyle name="표준 2 2 2 5 7 2" xfId="17190"/>
    <cellStyle name="표준 2 2 2 5 8" xfId="10826"/>
    <cellStyle name="표준 2 2 2 5 8 2" xfId="22074"/>
    <cellStyle name="표준 2 2 2 5 9" xfId="3480"/>
    <cellStyle name="표준 2 2 2 5 9 2" xfId="14752"/>
    <cellStyle name="표준 2 2 2 6" xfId="210"/>
    <cellStyle name="표준 2 2 2 6 10" xfId="1882"/>
    <cellStyle name="표준 2 2 2 6 10 2" xfId="13309"/>
    <cellStyle name="표준 2 2 2 6 11" xfId="11849"/>
    <cellStyle name="표준 2 2 2 6 2" xfId="494"/>
    <cellStyle name="표준 2 2 2 6 2 2" xfId="1582"/>
    <cellStyle name="표준 2 2 2 6 2 2 2" xfId="5407"/>
    <cellStyle name="표준 2 2 2 6 2 2 2 2" xfId="10284"/>
    <cellStyle name="표준 2 2 2 6 2 2 2 2 2" xfId="21532"/>
    <cellStyle name="표준 2 2 2 6 2 2 2 3" xfId="7846"/>
    <cellStyle name="표준 2 2 2 6 2 2 2 3 2" xfId="19094"/>
    <cellStyle name="표준 2 2 2 6 2 2 2 4" xfId="16656"/>
    <cellStyle name="표준 2 2 2 6 2 2 3" xfId="9294"/>
    <cellStyle name="표준 2 2 2 6 2 2 3 2" xfId="20542"/>
    <cellStyle name="표준 2 2 2 6 2 2 4" xfId="6856"/>
    <cellStyle name="표준 2 2 2 6 2 2 4 2" xfId="18104"/>
    <cellStyle name="표준 2 2 2 6 2 2 5" xfId="4415"/>
    <cellStyle name="표준 2 2 2 6 2 2 5 2" xfId="15666"/>
    <cellStyle name="표준 2 2 2 6 2 2 6" xfId="3194"/>
    <cellStyle name="표준 2 2 2 6 2 2 6 2" xfId="14472"/>
    <cellStyle name="표준 2 2 2 6 2 2 7" xfId="13012"/>
    <cellStyle name="표준 2 2 2 6 2 3" xfId="4954"/>
    <cellStyle name="표준 2 2 2 6 2 3 2" xfId="9831"/>
    <cellStyle name="표준 2 2 2 6 2 3 2 2" xfId="21079"/>
    <cellStyle name="표준 2 2 2 6 2 3 3" xfId="7393"/>
    <cellStyle name="표준 2 2 2 6 2 3 3 2" xfId="18641"/>
    <cellStyle name="표준 2 2 2 6 2 3 4" xfId="16203"/>
    <cellStyle name="표준 2 2 2 6 2 4" xfId="8841"/>
    <cellStyle name="표준 2 2 2 6 2 4 2" xfId="20089"/>
    <cellStyle name="표준 2 2 2 6 2 5" xfId="6403"/>
    <cellStyle name="표준 2 2 2 6 2 5 2" xfId="17651"/>
    <cellStyle name="표준 2 2 2 6 2 6" xfId="11085"/>
    <cellStyle name="표준 2 2 2 6 2 6 2" xfId="22332"/>
    <cellStyle name="표준 2 2 2 6 2 7" xfId="3962"/>
    <cellStyle name="표준 2 2 2 6 2 7 2" xfId="15213"/>
    <cellStyle name="표준 2 2 2 6 2 8" xfId="2166"/>
    <cellStyle name="표준 2 2 2 6 2 8 2" xfId="13593"/>
    <cellStyle name="표준 2 2 2 6 2 9" xfId="12133"/>
    <cellStyle name="표준 2 2 2 6 3" xfId="1197"/>
    <cellStyle name="표준 2 2 2 6 3 2" xfId="5180"/>
    <cellStyle name="표준 2 2 2 6 3 2 2" xfId="10057"/>
    <cellStyle name="표준 2 2 2 6 3 2 2 2" xfId="21305"/>
    <cellStyle name="표준 2 2 2 6 3 2 3" xfId="7619"/>
    <cellStyle name="표준 2 2 2 6 3 2 3 2" xfId="18867"/>
    <cellStyle name="표준 2 2 2 6 3 2 4" xfId="16429"/>
    <cellStyle name="표준 2 2 2 6 3 3" xfId="9067"/>
    <cellStyle name="표준 2 2 2 6 3 3 2" xfId="20315"/>
    <cellStyle name="표준 2 2 2 6 3 4" xfId="6629"/>
    <cellStyle name="표준 2 2 2 6 3 4 2" xfId="17877"/>
    <cellStyle name="표준 2 2 2 6 3 5" xfId="4188"/>
    <cellStyle name="표준 2 2 2 6 3 5 2" xfId="15439"/>
    <cellStyle name="표준 2 2 2 6 3 6" xfId="2818"/>
    <cellStyle name="표준 2 2 2 6 3 6 2" xfId="14096"/>
    <cellStyle name="표준 2 2 2 6 3 7" xfId="12636"/>
    <cellStyle name="표준 2 2 2 6 4" xfId="4728"/>
    <cellStyle name="표준 2 2 2 6 4 2" xfId="9605"/>
    <cellStyle name="표준 2 2 2 6 4 2 2" xfId="20853"/>
    <cellStyle name="표준 2 2 2 6 4 3" xfId="7167"/>
    <cellStyle name="표준 2 2 2 6 4 3 2" xfId="18415"/>
    <cellStyle name="표준 2 2 2 6 4 4" xfId="15977"/>
    <cellStyle name="표준 2 2 2 6 5" xfId="3736"/>
    <cellStyle name="표준 2 2 2 6 5 2" xfId="8615"/>
    <cellStyle name="표준 2 2 2 6 5 2 2" xfId="19863"/>
    <cellStyle name="표준 2 2 2 6 5 3" xfId="6177"/>
    <cellStyle name="표준 2 2 2 6 5 3 2" xfId="17425"/>
    <cellStyle name="표준 2 2 2 6 5 4" xfId="14987"/>
    <cellStyle name="표준 2 2 2 6 6" xfId="8454"/>
    <cellStyle name="표준 2 2 2 6 6 2" xfId="19702"/>
    <cellStyle name="표준 2 2 2 6 7" xfId="6016"/>
    <cellStyle name="표준 2 2 2 6 7 2" xfId="17264"/>
    <cellStyle name="표준 2 2 2 6 8" xfId="10900"/>
    <cellStyle name="표준 2 2 2 6 8 2" xfId="22148"/>
    <cellStyle name="표준 2 2 2 6 9" xfId="3555"/>
    <cellStyle name="표준 2 2 2 6 9 2" xfId="14826"/>
    <cellStyle name="표준 2 2 2 7" xfId="384"/>
    <cellStyle name="표준 2 2 2 7 2" xfId="1482"/>
    <cellStyle name="표준 2 2 2 7 2 2" xfId="10928"/>
    <cellStyle name="표준 2 2 2 7 2 2 2" xfId="22175"/>
    <cellStyle name="표준 2 2 2 7 2 3" xfId="4491"/>
    <cellStyle name="표준 2 2 2 7 2 4" xfId="3094"/>
    <cellStyle name="표준 2 2 2 7 2 4 2" xfId="14372"/>
    <cellStyle name="표준 2 2 2 7 2 5" xfId="12912"/>
    <cellStyle name="표준 2 2 2 7 3" xfId="1087"/>
    <cellStyle name="표준 2 2 2 7 3 2" xfId="9689"/>
    <cellStyle name="표준 2 2 2 7 3 2 2" xfId="20937"/>
    <cellStyle name="표준 2 2 2 7 3 3" xfId="7251"/>
    <cellStyle name="표준 2 2 2 7 3 3 2" xfId="18499"/>
    <cellStyle name="표준 2 2 2 7 3 4" xfId="4812"/>
    <cellStyle name="표준 2 2 2 7 3 4 2" xfId="16061"/>
    <cellStyle name="표준 2 2 2 7 3 5" xfId="2708"/>
    <cellStyle name="표준 2 2 2 7 3 5 2" xfId="13986"/>
    <cellStyle name="표준 2 2 2 7 3 6" xfId="12526"/>
    <cellStyle name="표준 2 2 2 7 4" xfId="8699"/>
    <cellStyle name="표준 2 2 2 7 4 2" xfId="19947"/>
    <cellStyle name="표준 2 2 2 7 5" xfId="6261"/>
    <cellStyle name="표준 2 2 2 7 5 2" xfId="17509"/>
    <cellStyle name="표준 2 2 2 7 6" xfId="10743"/>
    <cellStyle name="표준 2 2 2 7 6 2" xfId="21991"/>
    <cellStyle name="표준 2 2 2 7 7" xfId="3820"/>
    <cellStyle name="표준 2 2 2 7 7 2" xfId="15071"/>
    <cellStyle name="표준 2 2 2 7 8" xfId="2056"/>
    <cellStyle name="표준 2 2 2 7 8 2" xfId="13483"/>
    <cellStyle name="표준 2 2 2 7 9" xfId="12023"/>
    <cellStyle name="표준 2 2 2 8" xfId="320"/>
    <cellStyle name="표준 2 2 2 8 2" xfId="1699"/>
    <cellStyle name="표준 2 2 2 8 2 2" xfId="10142"/>
    <cellStyle name="표준 2 2 2 8 2 2 2" xfId="21390"/>
    <cellStyle name="표준 2 2 2 8 2 3" xfId="7704"/>
    <cellStyle name="표준 2 2 2 8 2 3 2" xfId="18952"/>
    <cellStyle name="표준 2 2 2 8 2 4" xfId="5265"/>
    <cellStyle name="표준 2 2 2 8 2 4 2" xfId="16514"/>
    <cellStyle name="표준 2 2 2 8 2 5" xfId="3311"/>
    <cellStyle name="표준 2 2 2 8 2 5 2" xfId="14589"/>
    <cellStyle name="표준 2 2 2 8 2 6" xfId="13129"/>
    <cellStyle name="표준 2 2 2 8 3" xfId="1317"/>
    <cellStyle name="표준 2 2 2 8 3 2" xfId="9152"/>
    <cellStyle name="표준 2 2 2 8 3 2 2" xfId="20400"/>
    <cellStyle name="표준 2 2 2 8 3 3" xfId="2938"/>
    <cellStyle name="표준 2 2 2 8 3 3 2" xfId="14216"/>
    <cellStyle name="표준 2 2 2 8 3 4" xfId="12756"/>
    <cellStyle name="표준 2 2 2 8 4" xfId="6714"/>
    <cellStyle name="표준 2 2 2 8 4 2" xfId="17962"/>
    <cellStyle name="표준 2 2 2 8 5" xfId="10911"/>
    <cellStyle name="표준 2 2 2 8 5 2" xfId="22158"/>
    <cellStyle name="표준 2 2 2 8 6" xfId="4273"/>
    <cellStyle name="표준 2 2 2 8 6 2" xfId="15524"/>
    <cellStyle name="표준 2 2 2 8 7" xfId="1992"/>
    <cellStyle name="표준 2 2 2 8 7 2" xfId="13419"/>
    <cellStyle name="표준 2 2 2 8 8" xfId="11959"/>
    <cellStyle name="표준 2 2 2 9" xfId="613"/>
    <cellStyle name="표준 2 2 2 9 2" xfId="1407"/>
    <cellStyle name="표준 2 2 2 9 2 2" xfId="9915"/>
    <cellStyle name="표준 2 2 2 9 2 2 2" xfId="21163"/>
    <cellStyle name="표준 2 2 2 9 2 3" xfId="7477"/>
    <cellStyle name="표준 2 2 2 9 2 3 2" xfId="18725"/>
    <cellStyle name="표준 2 2 2 9 2 4" xfId="5038"/>
    <cellStyle name="표준 2 2 2 9 2 4 2" xfId="16287"/>
    <cellStyle name="표준 2 2 2 9 2 5" xfId="3021"/>
    <cellStyle name="표준 2 2 2 9 2 5 2" xfId="14299"/>
    <cellStyle name="표준 2 2 2 9 2 6" xfId="12839"/>
    <cellStyle name="표준 2 2 2 9 3" xfId="8925"/>
    <cellStyle name="표준 2 2 2 9 3 2" xfId="20173"/>
    <cellStyle name="표준 2 2 2 9 4" xfId="6487"/>
    <cellStyle name="표준 2 2 2 9 4 2" xfId="17735"/>
    <cellStyle name="표준 2 2 2 9 5" xfId="4046"/>
    <cellStyle name="표준 2 2 2 9 5 2" xfId="15297"/>
    <cellStyle name="표준 2 2 2 9 6" xfId="2285"/>
    <cellStyle name="표준 2 2 2 9 6 2" xfId="13704"/>
    <cellStyle name="표준 2 2 2 9 7" xfId="12244"/>
    <cellStyle name="표준 2 2 20" xfId="5762"/>
    <cellStyle name="표준 2 2 20 2" xfId="10639"/>
    <cellStyle name="표준 2 2 20 2 2" xfId="21887"/>
    <cellStyle name="표준 2 2 20 3" xfId="8201"/>
    <cellStyle name="표준 2 2 20 3 2" xfId="19449"/>
    <cellStyle name="표준 2 2 20 4" xfId="17011"/>
    <cellStyle name="표준 2 2 21" xfId="3560"/>
    <cellStyle name="표준 2 2 21 2" xfId="8459"/>
    <cellStyle name="표준 2 2 21 2 2" xfId="19707"/>
    <cellStyle name="표준 2 2 21 3" xfId="6021"/>
    <cellStyle name="표준 2 2 21 3 2" xfId="17269"/>
    <cellStyle name="표준 2 2 21 4" xfId="14831"/>
    <cellStyle name="표준 2 2 22" xfId="8285"/>
    <cellStyle name="표준 2 2 22 2" xfId="19533"/>
    <cellStyle name="표준 2 2 23" xfId="5847"/>
    <cellStyle name="표준 2 2 23 2" xfId="17095"/>
    <cellStyle name="표준 2 2 24" xfId="10722"/>
    <cellStyle name="표준 2 2 24 2" xfId="21970"/>
    <cellStyle name="표준 2 2 25" xfId="3379"/>
    <cellStyle name="표준 2 2 25 2" xfId="14657"/>
    <cellStyle name="표준 2 2 26" xfId="1766"/>
    <cellStyle name="표준 2 2 26 2" xfId="13195"/>
    <cellStyle name="표준 2 2 27" xfId="11735"/>
    <cellStyle name="표준 2 2 3" xfId="59"/>
    <cellStyle name="표준 2 2 3 10" xfId="5696"/>
    <cellStyle name="표준 2 2 3 10 2" xfId="10573"/>
    <cellStyle name="표준 2 2 3 10 2 2" xfId="21821"/>
    <cellStyle name="표준 2 2 3 10 3" xfId="8135"/>
    <cellStyle name="표준 2 2 3 10 3 2" xfId="19383"/>
    <cellStyle name="표준 2 2 3 10 4" xfId="16945"/>
    <cellStyle name="표준 2 2 3 11" xfId="5779"/>
    <cellStyle name="표준 2 2 3 11 2" xfId="10656"/>
    <cellStyle name="표준 2 2 3 11 2 2" xfId="21904"/>
    <cellStyle name="표준 2 2 3 11 3" xfId="8218"/>
    <cellStyle name="표준 2 2 3 11 3 2" xfId="19466"/>
    <cellStyle name="표준 2 2 3 11 4" xfId="17028"/>
    <cellStyle name="표준 2 2 3 12" xfId="3582"/>
    <cellStyle name="표준 2 2 3 12 2" xfId="8481"/>
    <cellStyle name="표준 2 2 3 12 2 2" xfId="19729"/>
    <cellStyle name="표준 2 2 3 12 3" xfId="6043"/>
    <cellStyle name="표준 2 2 3 12 3 2" xfId="17291"/>
    <cellStyle name="표준 2 2 3 12 4" xfId="14853"/>
    <cellStyle name="표준 2 2 3 13" xfId="8302"/>
    <cellStyle name="표준 2 2 3 13 2" xfId="19550"/>
    <cellStyle name="표준 2 2 3 14" xfId="5864"/>
    <cellStyle name="표준 2 2 3 14 2" xfId="17112"/>
    <cellStyle name="표준 2 2 3 15" xfId="10748"/>
    <cellStyle name="표준 2 2 3 15 2" xfId="21996"/>
    <cellStyle name="표준 2 2 3 16" xfId="3396"/>
    <cellStyle name="표준 2 2 3 16 2" xfId="14674"/>
    <cellStyle name="표준 2 2 3 17" xfId="1775"/>
    <cellStyle name="표준 2 2 3 17 2" xfId="13204"/>
    <cellStyle name="표준 2 2 3 18" xfId="11744"/>
    <cellStyle name="표준 2 2 3 2" xfId="78"/>
    <cellStyle name="표준 2 2 3 2 10" xfId="5780"/>
    <cellStyle name="표준 2 2 3 2 10 2" xfId="10657"/>
    <cellStyle name="표준 2 2 3 2 10 2 2" xfId="21905"/>
    <cellStyle name="표준 2 2 3 2 10 3" xfId="8219"/>
    <cellStyle name="표준 2 2 3 2 10 3 2" xfId="19467"/>
    <cellStyle name="표준 2 2 3 2 10 4" xfId="17029"/>
    <cellStyle name="표준 2 2 3 2 11" xfId="3583"/>
    <cellStyle name="표준 2 2 3 2 11 2" xfId="8482"/>
    <cellStyle name="표준 2 2 3 2 11 2 2" xfId="19730"/>
    <cellStyle name="표준 2 2 3 2 11 3" xfId="6044"/>
    <cellStyle name="표준 2 2 3 2 11 3 2" xfId="17292"/>
    <cellStyle name="표준 2 2 3 2 11 4" xfId="14854"/>
    <cellStyle name="표준 2 2 3 2 12" xfId="8303"/>
    <cellStyle name="표준 2 2 3 2 12 2" xfId="19551"/>
    <cellStyle name="표준 2 2 3 2 13" xfId="5865"/>
    <cellStyle name="표준 2 2 3 2 13 2" xfId="17113"/>
    <cellStyle name="표준 2 2 3 2 14" xfId="10749"/>
    <cellStyle name="표준 2 2 3 2 14 2" xfId="21997"/>
    <cellStyle name="표준 2 2 3 2 15" xfId="3397"/>
    <cellStyle name="표준 2 2 3 2 15 2" xfId="14675"/>
    <cellStyle name="표준 2 2 3 2 16" xfId="1794"/>
    <cellStyle name="표준 2 2 3 2 16 2" xfId="13223"/>
    <cellStyle name="표준 2 2 3 2 17" xfId="11763"/>
    <cellStyle name="표준 2 2 3 2 2" xfId="177"/>
    <cellStyle name="표준 2 2 3 2 2 10" xfId="1851"/>
    <cellStyle name="표준 2 2 3 2 2 10 2" xfId="13278"/>
    <cellStyle name="표준 2 2 3 2 2 11" xfId="11818"/>
    <cellStyle name="표준 2 2 3 2 2 2" xfId="289"/>
    <cellStyle name="표준 2 2 3 2 2 2 2" xfId="573"/>
    <cellStyle name="표준 2 2 3 2 2 2 2 2" xfId="1661"/>
    <cellStyle name="표준 2 2 3 2 2 2 2 2 2" xfId="10204"/>
    <cellStyle name="표준 2 2 3 2 2 2 2 2 2 2" xfId="21452"/>
    <cellStyle name="표준 2 2 3 2 2 2 2 2 3" xfId="7766"/>
    <cellStyle name="표준 2 2 3 2 2 2 2 2 3 2" xfId="19014"/>
    <cellStyle name="표준 2 2 3 2 2 2 2 2 4" xfId="5327"/>
    <cellStyle name="표준 2 2 3 2 2 2 2 2 4 2" xfId="16576"/>
    <cellStyle name="표준 2 2 3 2 2 2 2 2 5" xfId="3273"/>
    <cellStyle name="표준 2 2 3 2 2 2 2 2 5 2" xfId="14551"/>
    <cellStyle name="표준 2 2 3 2 2 2 2 2 6" xfId="13091"/>
    <cellStyle name="표준 2 2 3 2 2 2 2 3" xfId="9214"/>
    <cellStyle name="표준 2 2 3 2 2 2 2 3 2" xfId="20462"/>
    <cellStyle name="표준 2 2 3 2 2 2 2 4" xfId="6776"/>
    <cellStyle name="표준 2 2 3 2 2 2 2 4 2" xfId="18024"/>
    <cellStyle name="표준 2 2 3 2 2 2 2 5" xfId="4335"/>
    <cellStyle name="표준 2 2 3 2 2 2 2 5 2" xfId="15586"/>
    <cellStyle name="표준 2 2 3 2 2 2 2 6" xfId="2245"/>
    <cellStyle name="표준 2 2 3 2 2 2 2 6 2" xfId="13672"/>
    <cellStyle name="표준 2 2 3 2 2 2 2 7" xfId="12212"/>
    <cellStyle name="표준 2 2 3 2 2 2 3" xfId="1276"/>
    <cellStyle name="표준 2 2 3 2 2 2 3 2" xfId="9751"/>
    <cellStyle name="표준 2 2 3 2 2 2 3 2 2" xfId="20999"/>
    <cellStyle name="표준 2 2 3 2 2 2 3 3" xfId="7313"/>
    <cellStyle name="표준 2 2 3 2 2 2 3 3 2" xfId="18561"/>
    <cellStyle name="표준 2 2 3 2 2 2 3 4" xfId="4874"/>
    <cellStyle name="표준 2 2 3 2 2 2 3 4 2" xfId="16123"/>
    <cellStyle name="표준 2 2 3 2 2 2 3 5" xfId="2897"/>
    <cellStyle name="표준 2 2 3 2 2 2 3 5 2" xfId="14175"/>
    <cellStyle name="표준 2 2 3 2 2 2 3 6" xfId="12715"/>
    <cellStyle name="표준 2 2 3 2 2 2 4" xfId="8761"/>
    <cellStyle name="표준 2 2 3 2 2 2 4 2" xfId="20009"/>
    <cellStyle name="표준 2 2 3 2 2 2 5" xfId="6323"/>
    <cellStyle name="표준 2 2 3 2 2 2 5 2" xfId="17571"/>
    <cellStyle name="표준 2 2 3 2 2 2 6" xfId="11017"/>
    <cellStyle name="표준 2 2 3 2 2 2 6 2" xfId="22264"/>
    <cellStyle name="표준 2 2 3 2 2 2 7" xfId="3882"/>
    <cellStyle name="표준 2 2 3 2 2 2 7 2" xfId="15133"/>
    <cellStyle name="표준 2 2 3 2 2 2 8" xfId="1961"/>
    <cellStyle name="표준 2 2 3 2 2 2 8 2" xfId="13388"/>
    <cellStyle name="표준 2 2 3 2 2 2 9" xfId="11928"/>
    <cellStyle name="표준 2 2 3 2 2 3" xfId="463"/>
    <cellStyle name="표준 2 2 3 2 2 3 2" xfId="1556"/>
    <cellStyle name="표준 2 2 3 2 2 3 2 2" xfId="9977"/>
    <cellStyle name="표준 2 2 3 2 2 3 2 2 2" xfId="21225"/>
    <cellStyle name="표준 2 2 3 2 2 3 2 3" xfId="7539"/>
    <cellStyle name="표준 2 2 3 2 2 3 2 3 2" xfId="18787"/>
    <cellStyle name="표준 2 2 3 2 2 3 2 4" xfId="5100"/>
    <cellStyle name="표준 2 2 3 2 2 3 2 4 2" xfId="16349"/>
    <cellStyle name="표준 2 2 3 2 2 3 2 5" xfId="3168"/>
    <cellStyle name="표준 2 2 3 2 2 3 2 5 2" xfId="14446"/>
    <cellStyle name="표준 2 2 3 2 2 3 2 6" xfId="12986"/>
    <cellStyle name="표준 2 2 3 2 2 3 3" xfId="8987"/>
    <cellStyle name="표준 2 2 3 2 2 3 3 2" xfId="20235"/>
    <cellStyle name="표준 2 2 3 2 2 3 4" xfId="6549"/>
    <cellStyle name="표준 2 2 3 2 2 3 4 2" xfId="17797"/>
    <cellStyle name="표준 2 2 3 2 2 3 5" xfId="4108"/>
    <cellStyle name="표준 2 2 3 2 2 3 5 2" xfId="15359"/>
    <cellStyle name="표준 2 2 3 2 2 3 6" xfId="2135"/>
    <cellStyle name="표준 2 2 3 2 2 3 6 2" xfId="13562"/>
    <cellStyle name="표준 2 2 3 2 2 3 7" xfId="12102"/>
    <cellStyle name="표준 2 2 3 2 2 4" xfId="760"/>
    <cellStyle name="표준 2 2 3 2 2 4 2" xfId="9525"/>
    <cellStyle name="표준 2 2 3 2 2 4 2 2" xfId="20773"/>
    <cellStyle name="표준 2 2 3 2 2 4 3" xfId="7087"/>
    <cellStyle name="표준 2 2 3 2 2 4 3 2" xfId="18335"/>
    <cellStyle name="표준 2 2 3 2 2 4 4" xfId="4648"/>
    <cellStyle name="표준 2 2 3 2 2 4 4 2" xfId="15897"/>
    <cellStyle name="표준 2 2 3 2 2 4 5" xfId="2387"/>
    <cellStyle name="표준 2 2 3 2 2 4 5 2" xfId="13782"/>
    <cellStyle name="표준 2 2 3 2 2 4 6" xfId="12322"/>
    <cellStyle name="표준 2 2 3 2 2 5" xfId="1166"/>
    <cellStyle name="표준 2 2 3 2 2 5 2" xfId="8565"/>
    <cellStyle name="표준 2 2 3 2 2 5 2 2" xfId="19813"/>
    <cellStyle name="표준 2 2 3 2 2 5 3" xfId="6127"/>
    <cellStyle name="표준 2 2 3 2 2 5 3 2" xfId="17375"/>
    <cellStyle name="표준 2 2 3 2 2 5 4" xfId="3686"/>
    <cellStyle name="표준 2 2 3 2 2 5 4 2" xfId="14937"/>
    <cellStyle name="표준 2 2 3 2 2 5 5" xfId="2787"/>
    <cellStyle name="표준 2 2 3 2 2 5 5 2" xfId="14065"/>
    <cellStyle name="표준 2 2 3 2 2 5 6" xfId="12605"/>
    <cellStyle name="표준 2 2 3 2 2 6" xfId="8386"/>
    <cellStyle name="표준 2 2 3 2 2 6 2" xfId="19634"/>
    <cellStyle name="표준 2 2 3 2 2 7" xfId="5948"/>
    <cellStyle name="표준 2 2 3 2 2 7 2" xfId="17196"/>
    <cellStyle name="표준 2 2 3 2 2 8" xfId="10832"/>
    <cellStyle name="표준 2 2 3 2 2 8 2" xfId="22080"/>
    <cellStyle name="표준 2 2 3 2 2 9" xfId="3486"/>
    <cellStyle name="표준 2 2 3 2 2 9 2" xfId="14758"/>
    <cellStyle name="표준 2 2 3 2 3" xfId="234"/>
    <cellStyle name="표준 2 2 3 2 3 10" xfId="11873"/>
    <cellStyle name="표준 2 2 3 2 3 2" xfId="518"/>
    <cellStyle name="표준 2 2 3 2 3 2 2" xfId="1606"/>
    <cellStyle name="표준 2 2 3 2 3 2 2 2" xfId="5413"/>
    <cellStyle name="표준 2 2 3 2 3 2 2 2 2" xfId="10290"/>
    <cellStyle name="표준 2 2 3 2 3 2 2 2 2 2" xfId="21538"/>
    <cellStyle name="표준 2 2 3 2 3 2 2 2 3" xfId="7852"/>
    <cellStyle name="표준 2 2 3 2 3 2 2 2 3 2" xfId="19100"/>
    <cellStyle name="표준 2 2 3 2 3 2 2 2 4" xfId="16662"/>
    <cellStyle name="표준 2 2 3 2 3 2 2 3" xfId="9300"/>
    <cellStyle name="표준 2 2 3 2 3 2 2 3 2" xfId="20548"/>
    <cellStyle name="표준 2 2 3 2 3 2 2 4" xfId="6862"/>
    <cellStyle name="표준 2 2 3 2 3 2 2 4 2" xfId="18110"/>
    <cellStyle name="표준 2 2 3 2 3 2 2 5" xfId="4421"/>
    <cellStyle name="표준 2 2 3 2 3 2 2 5 2" xfId="15672"/>
    <cellStyle name="표준 2 2 3 2 3 2 2 6" xfId="3218"/>
    <cellStyle name="표준 2 2 3 2 3 2 2 6 2" xfId="14496"/>
    <cellStyle name="표준 2 2 3 2 3 2 2 7" xfId="13036"/>
    <cellStyle name="표준 2 2 3 2 3 2 3" xfId="4960"/>
    <cellStyle name="표준 2 2 3 2 3 2 3 2" xfId="9837"/>
    <cellStyle name="표준 2 2 3 2 3 2 3 2 2" xfId="21085"/>
    <cellStyle name="표준 2 2 3 2 3 2 3 3" xfId="7399"/>
    <cellStyle name="표준 2 2 3 2 3 2 3 3 2" xfId="18647"/>
    <cellStyle name="표준 2 2 3 2 3 2 3 4" xfId="16209"/>
    <cellStyle name="표준 2 2 3 2 3 2 4" xfId="8847"/>
    <cellStyle name="표준 2 2 3 2 3 2 4 2" xfId="20095"/>
    <cellStyle name="표준 2 2 3 2 3 2 5" xfId="6409"/>
    <cellStyle name="표준 2 2 3 2 3 2 5 2" xfId="17657"/>
    <cellStyle name="표준 2 2 3 2 3 2 6" xfId="3968"/>
    <cellStyle name="표준 2 2 3 2 3 2 6 2" xfId="15219"/>
    <cellStyle name="표준 2 2 3 2 3 2 7" xfId="2190"/>
    <cellStyle name="표준 2 2 3 2 3 2 7 2" xfId="13617"/>
    <cellStyle name="표준 2 2 3 2 3 2 8" xfId="12157"/>
    <cellStyle name="표준 2 2 3 2 3 3" xfId="1221"/>
    <cellStyle name="표준 2 2 3 2 3 3 2" xfId="5186"/>
    <cellStyle name="표준 2 2 3 2 3 3 2 2" xfId="10063"/>
    <cellStyle name="표준 2 2 3 2 3 3 2 2 2" xfId="21311"/>
    <cellStyle name="표준 2 2 3 2 3 3 2 3" xfId="7625"/>
    <cellStyle name="표준 2 2 3 2 3 3 2 3 2" xfId="18873"/>
    <cellStyle name="표준 2 2 3 2 3 3 2 4" xfId="16435"/>
    <cellStyle name="표준 2 2 3 2 3 3 3" xfId="9073"/>
    <cellStyle name="표준 2 2 3 2 3 3 3 2" xfId="20321"/>
    <cellStyle name="표준 2 2 3 2 3 3 4" xfId="6635"/>
    <cellStyle name="표준 2 2 3 2 3 3 4 2" xfId="17883"/>
    <cellStyle name="표준 2 2 3 2 3 3 5" xfId="4194"/>
    <cellStyle name="표준 2 2 3 2 3 3 5 2" xfId="15445"/>
    <cellStyle name="표준 2 2 3 2 3 3 6" xfId="2842"/>
    <cellStyle name="표준 2 2 3 2 3 3 6 2" xfId="14120"/>
    <cellStyle name="표준 2 2 3 2 3 3 7" xfId="12660"/>
    <cellStyle name="표준 2 2 3 2 3 4" xfId="4734"/>
    <cellStyle name="표준 2 2 3 2 3 4 2" xfId="9611"/>
    <cellStyle name="표준 2 2 3 2 3 4 2 2" xfId="20859"/>
    <cellStyle name="표준 2 2 3 2 3 4 3" xfId="7173"/>
    <cellStyle name="표준 2 2 3 2 3 4 3 2" xfId="18421"/>
    <cellStyle name="표준 2 2 3 2 3 4 4" xfId="15983"/>
    <cellStyle name="표준 2 2 3 2 3 5" xfId="8621"/>
    <cellStyle name="표준 2 2 3 2 3 5 2" xfId="19869"/>
    <cellStyle name="표준 2 2 3 2 3 6" xfId="6183"/>
    <cellStyle name="표준 2 2 3 2 3 6 2" xfId="17431"/>
    <cellStyle name="표준 2 2 3 2 3 7" xfId="10934"/>
    <cellStyle name="표준 2 2 3 2 3 7 2" xfId="22181"/>
    <cellStyle name="표준 2 2 3 2 3 8" xfId="3742"/>
    <cellStyle name="표준 2 2 3 2 3 8 2" xfId="14993"/>
    <cellStyle name="표준 2 2 3 2 3 9" xfId="1906"/>
    <cellStyle name="표준 2 2 3 2 3 9 2" xfId="13333"/>
    <cellStyle name="표준 2 2 3 2 4" xfId="408"/>
    <cellStyle name="표준 2 2 3 2 4 2" xfId="1506"/>
    <cellStyle name="표준 2 2 3 2 4 2 2" xfId="5292"/>
    <cellStyle name="표준 2 2 3 2 4 2 2 2" xfId="10169"/>
    <cellStyle name="표준 2 2 3 2 4 2 2 2 2" xfId="21417"/>
    <cellStyle name="표준 2 2 3 2 4 2 2 3" xfId="7731"/>
    <cellStyle name="표준 2 2 3 2 4 2 2 3 2" xfId="18979"/>
    <cellStyle name="표준 2 2 3 2 4 2 2 4" xfId="16541"/>
    <cellStyle name="표준 2 2 3 2 4 2 3" xfId="9179"/>
    <cellStyle name="표준 2 2 3 2 4 2 3 2" xfId="20427"/>
    <cellStyle name="표준 2 2 3 2 4 2 4" xfId="6741"/>
    <cellStyle name="표준 2 2 3 2 4 2 4 2" xfId="17989"/>
    <cellStyle name="표준 2 2 3 2 4 2 5" xfId="4300"/>
    <cellStyle name="표준 2 2 3 2 4 2 5 2" xfId="15551"/>
    <cellStyle name="표준 2 2 3 2 4 2 6" xfId="3118"/>
    <cellStyle name="표준 2 2 3 2 4 2 6 2" xfId="14396"/>
    <cellStyle name="표준 2 2 3 2 4 2 7" xfId="12936"/>
    <cellStyle name="표준 2 2 3 2 4 3" xfId="1111"/>
    <cellStyle name="표준 2 2 3 2 4 3 2" xfId="9716"/>
    <cellStyle name="표준 2 2 3 2 4 3 2 2" xfId="20964"/>
    <cellStyle name="표준 2 2 3 2 4 3 3" xfId="7278"/>
    <cellStyle name="표준 2 2 3 2 4 3 3 2" xfId="18526"/>
    <cellStyle name="표준 2 2 3 2 4 3 4" xfId="4839"/>
    <cellStyle name="표준 2 2 3 2 4 3 4 2" xfId="16088"/>
    <cellStyle name="표준 2 2 3 2 4 3 5" xfId="2732"/>
    <cellStyle name="표준 2 2 3 2 4 3 5 2" xfId="14010"/>
    <cellStyle name="표준 2 2 3 2 4 3 6" xfId="12550"/>
    <cellStyle name="표준 2 2 3 2 4 4" xfId="8726"/>
    <cellStyle name="표준 2 2 3 2 4 4 2" xfId="19974"/>
    <cellStyle name="표준 2 2 3 2 4 5" xfId="6288"/>
    <cellStyle name="표준 2 2 3 2 4 5 2" xfId="17536"/>
    <cellStyle name="표준 2 2 3 2 4 6" xfId="3847"/>
    <cellStyle name="표준 2 2 3 2 4 6 2" xfId="15098"/>
    <cellStyle name="표준 2 2 3 2 4 7" xfId="2080"/>
    <cellStyle name="표준 2 2 3 2 4 7 2" xfId="13507"/>
    <cellStyle name="표준 2 2 3 2 4 8" xfId="12047"/>
    <cellStyle name="표준 2 2 3 2 5" xfId="353"/>
    <cellStyle name="표준 2 2 3 2 5 2" xfId="1705"/>
    <cellStyle name="표준 2 2 3 2 5 2 2" xfId="9942"/>
    <cellStyle name="표준 2 2 3 2 5 2 2 2" xfId="21190"/>
    <cellStyle name="표준 2 2 3 2 5 2 3" xfId="7504"/>
    <cellStyle name="표준 2 2 3 2 5 2 3 2" xfId="18752"/>
    <cellStyle name="표준 2 2 3 2 5 2 4" xfId="5065"/>
    <cellStyle name="표준 2 2 3 2 5 2 4 2" xfId="16314"/>
    <cellStyle name="표준 2 2 3 2 5 2 5" xfId="3317"/>
    <cellStyle name="표준 2 2 3 2 5 2 5 2" xfId="14595"/>
    <cellStyle name="표준 2 2 3 2 5 2 6" xfId="13135"/>
    <cellStyle name="표준 2 2 3 2 5 3" xfId="1323"/>
    <cellStyle name="표준 2 2 3 2 5 3 2" xfId="8952"/>
    <cellStyle name="표준 2 2 3 2 5 3 2 2" xfId="20200"/>
    <cellStyle name="표준 2 2 3 2 5 3 3" xfId="2944"/>
    <cellStyle name="표준 2 2 3 2 5 3 3 2" xfId="14222"/>
    <cellStyle name="표준 2 2 3 2 5 3 4" xfId="12762"/>
    <cellStyle name="표준 2 2 3 2 5 4" xfId="6514"/>
    <cellStyle name="표준 2 2 3 2 5 4 2" xfId="17762"/>
    <cellStyle name="표준 2 2 3 2 5 5" xfId="4073"/>
    <cellStyle name="표준 2 2 3 2 5 5 2" xfId="15324"/>
    <cellStyle name="표준 2 2 3 2 5 6" xfId="2025"/>
    <cellStyle name="표준 2 2 3 2 5 6 2" xfId="13452"/>
    <cellStyle name="표준 2 2 3 2 5 7" xfId="11992"/>
    <cellStyle name="표준 2 2 3 2 6" xfId="694"/>
    <cellStyle name="표준 2 2 3 2 6 2" xfId="1413"/>
    <cellStyle name="표준 2 2 3 2 6 2 2" xfId="10384"/>
    <cellStyle name="표준 2 2 3 2 6 2 2 2" xfId="21632"/>
    <cellStyle name="표준 2 2 3 2 6 2 3" xfId="7946"/>
    <cellStyle name="표준 2 2 3 2 6 2 3 2" xfId="19194"/>
    <cellStyle name="표준 2 2 3 2 6 2 4" xfId="5507"/>
    <cellStyle name="표준 2 2 3 2 6 2 4 2" xfId="16756"/>
    <cellStyle name="표준 2 2 3 2 6 2 5" xfId="3027"/>
    <cellStyle name="표준 2 2 3 2 6 2 5 2" xfId="14305"/>
    <cellStyle name="표준 2 2 3 2 6 2 6" xfId="12845"/>
    <cellStyle name="표준 2 2 3 2 6 3" xfId="9394"/>
    <cellStyle name="표준 2 2 3 2 6 3 2" xfId="20642"/>
    <cellStyle name="표준 2 2 3 2 6 4" xfId="6956"/>
    <cellStyle name="표준 2 2 3 2 6 4 2" xfId="18204"/>
    <cellStyle name="표준 2 2 3 2 6 5" xfId="4517"/>
    <cellStyle name="표준 2 2 3 2 6 5 2" xfId="15766"/>
    <cellStyle name="표준 2 2 3 2 6 6" xfId="2326"/>
    <cellStyle name="표준 2 2 3 2 6 6 2" xfId="13739"/>
    <cellStyle name="표준 2 2 3 2 6 7" xfId="12279"/>
    <cellStyle name="표준 2 2 3 2 7" xfId="1056"/>
    <cellStyle name="표준 2 2 3 2 7 2" xfId="9490"/>
    <cellStyle name="표준 2 2 3 2 7 2 2" xfId="20738"/>
    <cellStyle name="표준 2 2 3 2 7 3" xfId="7052"/>
    <cellStyle name="표준 2 2 3 2 7 3 2" xfId="18300"/>
    <cellStyle name="표준 2 2 3 2 7 4" xfId="4613"/>
    <cellStyle name="표준 2 2 3 2 7 4 2" xfId="15862"/>
    <cellStyle name="표준 2 2 3 2 7 5" xfId="2677"/>
    <cellStyle name="표준 2 2 3 2 7 5 2" xfId="13955"/>
    <cellStyle name="표준 2 2 3 2 7 6" xfId="12495"/>
    <cellStyle name="표준 2 2 3 2 8" xfId="992"/>
    <cellStyle name="표준 2 2 3 2 8 2" xfId="10468"/>
    <cellStyle name="표준 2 2 3 2 8 2 2" xfId="21716"/>
    <cellStyle name="표준 2 2 3 2 8 3" xfId="8030"/>
    <cellStyle name="표준 2 2 3 2 8 3 2" xfId="19278"/>
    <cellStyle name="표준 2 2 3 2 8 4" xfId="5591"/>
    <cellStyle name="표준 2 2 3 2 8 4 2" xfId="16840"/>
    <cellStyle name="표준 2 2 3 2 8 5" xfId="2613"/>
    <cellStyle name="표준 2 2 3 2 8 5 2" xfId="13891"/>
    <cellStyle name="표준 2 2 3 2 8 6" xfId="12431"/>
    <cellStyle name="표준 2 2 3 2 9" xfId="5697"/>
    <cellStyle name="표준 2 2 3 2 9 2" xfId="10574"/>
    <cellStyle name="표준 2 2 3 2 9 2 2" xfId="21822"/>
    <cellStyle name="표준 2 2 3 2 9 3" xfId="8136"/>
    <cellStyle name="표준 2 2 3 2 9 3 2" xfId="19384"/>
    <cellStyle name="표준 2 2 3 2 9 4" xfId="16946"/>
    <cellStyle name="표준 2 2 3 3" xfId="103"/>
    <cellStyle name="표준 2 2 3 3 10" xfId="1819"/>
    <cellStyle name="표준 2 2 3 3 10 2" xfId="13248"/>
    <cellStyle name="표준 2 2 3 3 11" xfId="11788"/>
    <cellStyle name="표준 2 2 3 3 2" xfId="259"/>
    <cellStyle name="표준 2 2 3 3 2 2" xfId="543"/>
    <cellStyle name="표준 2 2 3 3 2 2 2" xfId="1631"/>
    <cellStyle name="표준 2 2 3 3 2 2 2 2" xfId="10203"/>
    <cellStyle name="표준 2 2 3 3 2 2 2 2 2" xfId="21451"/>
    <cellStyle name="표준 2 2 3 3 2 2 2 3" xfId="7765"/>
    <cellStyle name="표준 2 2 3 3 2 2 2 3 2" xfId="19013"/>
    <cellStyle name="표준 2 2 3 3 2 2 2 4" xfId="5326"/>
    <cellStyle name="표준 2 2 3 3 2 2 2 4 2" xfId="16575"/>
    <cellStyle name="표준 2 2 3 3 2 2 2 5" xfId="3243"/>
    <cellStyle name="표준 2 2 3 3 2 2 2 5 2" xfId="14521"/>
    <cellStyle name="표준 2 2 3 3 2 2 2 6" xfId="13061"/>
    <cellStyle name="표준 2 2 3 3 2 2 3" xfId="9213"/>
    <cellStyle name="표준 2 2 3 3 2 2 3 2" xfId="20461"/>
    <cellStyle name="표준 2 2 3 3 2 2 4" xfId="6775"/>
    <cellStyle name="표준 2 2 3 3 2 2 4 2" xfId="18023"/>
    <cellStyle name="표준 2 2 3 3 2 2 5" xfId="4334"/>
    <cellStyle name="표준 2 2 3 3 2 2 5 2" xfId="15585"/>
    <cellStyle name="표준 2 2 3 3 2 2 6" xfId="2215"/>
    <cellStyle name="표준 2 2 3 3 2 2 6 2" xfId="13642"/>
    <cellStyle name="표준 2 2 3 3 2 2 7" xfId="12182"/>
    <cellStyle name="표준 2 2 3 3 2 3" xfId="1246"/>
    <cellStyle name="표준 2 2 3 3 2 3 2" xfId="9750"/>
    <cellStyle name="표준 2 2 3 3 2 3 2 2" xfId="20998"/>
    <cellStyle name="표준 2 2 3 3 2 3 3" xfId="7312"/>
    <cellStyle name="표준 2 2 3 3 2 3 3 2" xfId="18560"/>
    <cellStyle name="표준 2 2 3 3 2 3 4" xfId="4873"/>
    <cellStyle name="표준 2 2 3 3 2 3 4 2" xfId="16122"/>
    <cellStyle name="표준 2 2 3 3 2 3 5" xfId="2867"/>
    <cellStyle name="표준 2 2 3 3 2 3 5 2" xfId="14145"/>
    <cellStyle name="표준 2 2 3 3 2 3 6" xfId="12685"/>
    <cellStyle name="표준 2 2 3 3 2 4" xfId="8760"/>
    <cellStyle name="표준 2 2 3 3 2 4 2" xfId="20008"/>
    <cellStyle name="표준 2 2 3 3 2 5" xfId="6322"/>
    <cellStyle name="표준 2 2 3 3 2 5 2" xfId="17570"/>
    <cellStyle name="표준 2 2 3 3 2 6" xfId="11016"/>
    <cellStyle name="표준 2 2 3 3 2 6 2" xfId="22263"/>
    <cellStyle name="표준 2 2 3 3 2 7" xfId="3881"/>
    <cellStyle name="표준 2 2 3 3 2 7 2" xfId="15132"/>
    <cellStyle name="표준 2 2 3 3 2 8" xfId="1931"/>
    <cellStyle name="표준 2 2 3 3 2 8 2" xfId="13358"/>
    <cellStyle name="표준 2 2 3 3 2 9" xfId="11898"/>
    <cellStyle name="표준 2 2 3 3 3" xfId="433"/>
    <cellStyle name="표준 2 2 3 3 3 2" xfId="1526"/>
    <cellStyle name="표준 2 2 3 3 3 2 2" xfId="9976"/>
    <cellStyle name="표준 2 2 3 3 3 2 2 2" xfId="21224"/>
    <cellStyle name="표준 2 2 3 3 3 2 3" xfId="7538"/>
    <cellStyle name="표준 2 2 3 3 3 2 3 2" xfId="18786"/>
    <cellStyle name="표준 2 2 3 3 3 2 4" xfId="5099"/>
    <cellStyle name="표준 2 2 3 3 3 2 4 2" xfId="16348"/>
    <cellStyle name="표준 2 2 3 3 3 2 5" xfId="3138"/>
    <cellStyle name="표준 2 2 3 3 3 2 5 2" xfId="14416"/>
    <cellStyle name="표준 2 2 3 3 3 2 6" xfId="12956"/>
    <cellStyle name="표준 2 2 3 3 3 3" xfId="8986"/>
    <cellStyle name="표준 2 2 3 3 3 3 2" xfId="20234"/>
    <cellStyle name="표준 2 2 3 3 3 4" xfId="6548"/>
    <cellStyle name="표준 2 2 3 3 3 4 2" xfId="17796"/>
    <cellStyle name="표준 2 2 3 3 3 5" xfId="4107"/>
    <cellStyle name="표준 2 2 3 3 3 5 2" xfId="15358"/>
    <cellStyle name="표준 2 2 3 3 3 6" xfId="2105"/>
    <cellStyle name="표준 2 2 3 3 3 6 2" xfId="13532"/>
    <cellStyle name="표준 2 2 3 3 3 7" xfId="12072"/>
    <cellStyle name="표준 2 2 3 3 4" xfId="759"/>
    <cellStyle name="표준 2 2 3 3 4 2" xfId="1136"/>
    <cellStyle name="표준 2 2 3 3 4 2 2" xfId="9524"/>
    <cellStyle name="표준 2 2 3 3 4 2 2 2" xfId="20772"/>
    <cellStyle name="표준 2 2 3 3 4 2 3" xfId="2757"/>
    <cellStyle name="표준 2 2 3 3 4 2 3 2" xfId="14035"/>
    <cellStyle name="표준 2 2 3 3 4 2 4" xfId="12575"/>
    <cellStyle name="표준 2 2 3 3 4 3" xfId="7086"/>
    <cellStyle name="표준 2 2 3 3 4 3 2" xfId="18334"/>
    <cellStyle name="표준 2 2 3 3 4 4" xfId="4647"/>
    <cellStyle name="표준 2 2 3 3 4 4 2" xfId="15896"/>
    <cellStyle name="표준 2 2 3 3 4 5" xfId="2386"/>
    <cellStyle name="표준 2 2 3 3 4 5 2" xfId="13781"/>
    <cellStyle name="표준 2 2 3 3 4 6" xfId="12321"/>
    <cellStyle name="표준 2 2 3 3 5" xfId="962"/>
    <cellStyle name="표준 2 2 3 3 5 2" xfId="8564"/>
    <cellStyle name="표준 2 2 3 3 5 2 2" xfId="19812"/>
    <cellStyle name="표준 2 2 3 3 5 3" xfId="6126"/>
    <cellStyle name="표준 2 2 3 3 5 3 2" xfId="17374"/>
    <cellStyle name="표준 2 2 3 3 5 4" xfId="3685"/>
    <cellStyle name="표준 2 2 3 3 5 4 2" xfId="14936"/>
    <cellStyle name="표준 2 2 3 3 5 5" xfId="2584"/>
    <cellStyle name="표준 2 2 3 3 5 5 2" xfId="13862"/>
    <cellStyle name="표준 2 2 3 3 5 6" xfId="12402"/>
    <cellStyle name="표준 2 2 3 3 6" xfId="8385"/>
    <cellStyle name="표준 2 2 3 3 6 2" xfId="19633"/>
    <cellStyle name="표준 2 2 3 3 7" xfId="5947"/>
    <cellStyle name="표준 2 2 3 3 7 2" xfId="17195"/>
    <cellStyle name="표준 2 2 3 3 8" xfId="10831"/>
    <cellStyle name="표준 2 2 3 3 8 2" xfId="22079"/>
    <cellStyle name="표준 2 2 3 3 9" xfId="3485"/>
    <cellStyle name="표준 2 2 3 3 9 2" xfId="14757"/>
    <cellStyle name="표준 2 2 3 4" xfId="215"/>
    <cellStyle name="표준 2 2 3 4 10" xfId="11854"/>
    <cellStyle name="표준 2 2 3 4 2" xfId="499"/>
    <cellStyle name="표준 2 2 3 4 2 2" xfId="1587"/>
    <cellStyle name="표준 2 2 3 4 2 2 2" xfId="5412"/>
    <cellStyle name="표준 2 2 3 4 2 2 2 2" xfId="10289"/>
    <cellStyle name="표준 2 2 3 4 2 2 2 2 2" xfId="21537"/>
    <cellStyle name="표준 2 2 3 4 2 2 2 3" xfId="7851"/>
    <cellStyle name="표준 2 2 3 4 2 2 2 3 2" xfId="19099"/>
    <cellStyle name="표준 2 2 3 4 2 2 2 4" xfId="16661"/>
    <cellStyle name="표준 2 2 3 4 2 2 3" xfId="9299"/>
    <cellStyle name="표준 2 2 3 4 2 2 3 2" xfId="20547"/>
    <cellStyle name="표준 2 2 3 4 2 2 4" xfId="6861"/>
    <cellStyle name="표준 2 2 3 4 2 2 4 2" xfId="18109"/>
    <cellStyle name="표준 2 2 3 4 2 2 5" xfId="4420"/>
    <cellStyle name="표준 2 2 3 4 2 2 5 2" xfId="15671"/>
    <cellStyle name="표준 2 2 3 4 2 2 6" xfId="3199"/>
    <cellStyle name="표준 2 2 3 4 2 2 6 2" xfId="14477"/>
    <cellStyle name="표준 2 2 3 4 2 2 7" xfId="13017"/>
    <cellStyle name="표준 2 2 3 4 2 3" xfId="4959"/>
    <cellStyle name="표준 2 2 3 4 2 3 2" xfId="9836"/>
    <cellStyle name="표준 2 2 3 4 2 3 2 2" xfId="21084"/>
    <cellStyle name="표준 2 2 3 4 2 3 3" xfId="7398"/>
    <cellStyle name="표준 2 2 3 4 2 3 3 2" xfId="18646"/>
    <cellStyle name="표준 2 2 3 4 2 3 4" xfId="16208"/>
    <cellStyle name="표준 2 2 3 4 2 4" xfId="8846"/>
    <cellStyle name="표준 2 2 3 4 2 4 2" xfId="20094"/>
    <cellStyle name="표준 2 2 3 4 2 5" xfId="6408"/>
    <cellStyle name="표준 2 2 3 4 2 5 2" xfId="17656"/>
    <cellStyle name="표준 2 2 3 4 2 6" xfId="3967"/>
    <cellStyle name="표준 2 2 3 4 2 6 2" xfId="15218"/>
    <cellStyle name="표준 2 2 3 4 2 7" xfId="2171"/>
    <cellStyle name="표준 2 2 3 4 2 7 2" xfId="13598"/>
    <cellStyle name="표준 2 2 3 4 2 8" xfId="12138"/>
    <cellStyle name="표준 2 2 3 4 3" xfId="1202"/>
    <cellStyle name="표준 2 2 3 4 3 2" xfId="5185"/>
    <cellStyle name="표준 2 2 3 4 3 2 2" xfId="10062"/>
    <cellStyle name="표준 2 2 3 4 3 2 2 2" xfId="21310"/>
    <cellStyle name="표준 2 2 3 4 3 2 3" xfId="7624"/>
    <cellStyle name="표준 2 2 3 4 3 2 3 2" xfId="18872"/>
    <cellStyle name="표준 2 2 3 4 3 2 4" xfId="16434"/>
    <cellStyle name="표준 2 2 3 4 3 3" xfId="9072"/>
    <cellStyle name="표준 2 2 3 4 3 3 2" xfId="20320"/>
    <cellStyle name="표준 2 2 3 4 3 4" xfId="6634"/>
    <cellStyle name="표준 2 2 3 4 3 4 2" xfId="17882"/>
    <cellStyle name="표준 2 2 3 4 3 5" xfId="4193"/>
    <cellStyle name="표준 2 2 3 4 3 5 2" xfId="15444"/>
    <cellStyle name="표준 2 2 3 4 3 6" xfId="2823"/>
    <cellStyle name="표준 2 2 3 4 3 6 2" xfId="14101"/>
    <cellStyle name="표준 2 2 3 4 3 7" xfId="12641"/>
    <cellStyle name="표준 2 2 3 4 4" xfId="4733"/>
    <cellStyle name="표준 2 2 3 4 4 2" xfId="9610"/>
    <cellStyle name="표준 2 2 3 4 4 2 2" xfId="20858"/>
    <cellStyle name="표준 2 2 3 4 4 3" xfId="7172"/>
    <cellStyle name="표준 2 2 3 4 4 3 2" xfId="18420"/>
    <cellStyle name="표준 2 2 3 4 4 4" xfId="15982"/>
    <cellStyle name="표준 2 2 3 4 5" xfId="8620"/>
    <cellStyle name="표준 2 2 3 4 5 2" xfId="19868"/>
    <cellStyle name="표준 2 2 3 4 6" xfId="6182"/>
    <cellStyle name="표준 2 2 3 4 6 2" xfId="17430"/>
    <cellStyle name="표준 2 2 3 4 7" xfId="10933"/>
    <cellStyle name="표준 2 2 3 4 7 2" xfId="22180"/>
    <cellStyle name="표준 2 2 3 4 8" xfId="3741"/>
    <cellStyle name="표준 2 2 3 4 8 2" xfId="14992"/>
    <cellStyle name="표준 2 2 3 4 9" xfId="1887"/>
    <cellStyle name="표준 2 2 3 4 9 2" xfId="13314"/>
    <cellStyle name="표준 2 2 3 5" xfId="389"/>
    <cellStyle name="표준 2 2 3 5 2" xfId="1487"/>
    <cellStyle name="표준 2 2 3 5 2 2" xfId="5270"/>
    <cellStyle name="표준 2 2 3 5 2 2 2" xfId="10147"/>
    <cellStyle name="표준 2 2 3 5 2 2 2 2" xfId="21395"/>
    <cellStyle name="표준 2 2 3 5 2 2 3" xfId="7709"/>
    <cellStyle name="표준 2 2 3 5 2 2 3 2" xfId="18957"/>
    <cellStyle name="표준 2 2 3 5 2 2 4" xfId="16519"/>
    <cellStyle name="표준 2 2 3 5 2 3" xfId="9157"/>
    <cellStyle name="표준 2 2 3 5 2 3 2" xfId="20405"/>
    <cellStyle name="표준 2 2 3 5 2 4" xfId="6719"/>
    <cellStyle name="표준 2 2 3 5 2 4 2" xfId="17967"/>
    <cellStyle name="표준 2 2 3 5 2 5" xfId="4278"/>
    <cellStyle name="표준 2 2 3 5 2 5 2" xfId="15529"/>
    <cellStyle name="표준 2 2 3 5 2 6" xfId="3099"/>
    <cellStyle name="표준 2 2 3 5 2 6 2" xfId="14377"/>
    <cellStyle name="표준 2 2 3 5 2 7" xfId="12917"/>
    <cellStyle name="표준 2 2 3 5 3" xfId="1092"/>
    <cellStyle name="표준 2 2 3 5 3 2" xfId="9694"/>
    <cellStyle name="표준 2 2 3 5 3 2 2" xfId="20942"/>
    <cellStyle name="표준 2 2 3 5 3 3" xfId="7256"/>
    <cellStyle name="표준 2 2 3 5 3 3 2" xfId="18504"/>
    <cellStyle name="표준 2 2 3 5 3 4" xfId="4817"/>
    <cellStyle name="표준 2 2 3 5 3 4 2" xfId="16066"/>
    <cellStyle name="표준 2 2 3 5 3 5" xfId="2713"/>
    <cellStyle name="표준 2 2 3 5 3 5 2" xfId="13991"/>
    <cellStyle name="표준 2 2 3 5 3 6" xfId="12531"/>
    <cellStyle name="표준 2 2 3 5 4" xfId="8704"/>
    <cellStyle name="표준 2 2 3 5 4 2" xfId="19952"/>
    <cellStyle name="표준 2 2 3 5 5" xfId="6266"/>
    <cellStyle name="표준 2 2 3 5 5 2" xfId="17514"/>
    <cellStyle name="표준 2 2 3 5 6" xfId="3825"/>
    <cellStyle name="표준 2 2 3 5 6 2" xfId="15076"/>
    <cellStyle name="표준 2 2 3 5 7" xfId="2061"/>
    <cellStyle name="표준 2 2 3 5 7 2" xfId="13488"/>
    <cellStyle name="표준 2 2 3 5 8" xfId="12028"/>
    <cellStyle name="표준 2 2 3 6" xfId="323"/>
    <cellStyle name="표준 2 2 3 6 2" xfId="1704"/>
    <cellStyle name="표준 2 2 3 6 2 2" xfId="9920"/>
    <cellStyle name="표준 2 2 3 6 2 2 2" xfId="21168"/>
    <cellStyle name="표준 2 2 3 6 2 3" xfId="7482"/>
    <cellStyle name="표준 2 2 3 6 2 3 2" xfId="18730"/>
    <cellStyle name="표준 2 2 3 6 2 4" xfId="5043"/>
    <cellStyle name="표준 2 2 3 6 2 4 2" xfId="16292"/>
    <cellStyle name="표준 2 2 3 6 2 5" xfId="3316"/>
    <cellStyle name="표준 2 2 3 6 2 5 2" xfId="14594"/>
    <cellStyle name="표준 2 2 3 6 2 6" xfId="13134"/>
    <cellStyle name="표준 2 2 3 6 3" xfId="1322"/>
    <cellStyle name="표준 2 2 3 6 3 2" xfId="8930"/>
    <cellStyle name="표준 2 2 3 6 3 2 2" xfId="20178"/>
    <cellStyle name="표준 2 2 3 6 3 3" xfId="2943"/>
    <cellStyle name="표준 2 2 3 6 3 3 2" xfId="14221"/>
    <cellStyle name="표준 2 2 3 6 3 4" xfId="12761"/>
    <cellStyle name="표준 2 2 3 6 4" xfId="6492"/>
    <cellStyle name="표준 2 2 3 6 4 2" xfId="17740"/>
    <cellStyle name="표준 2 2 3 6 5" xfId="4051"/>
    <cellStyle name="표준 2 2 3 6 5 2" xfId="15302"/>
    <cellStyle name="표준 2 2 3 6 6" xfId="1995"/>
    <cellStyle name="표준 2 2 3 6 6 2" xfId="13422"/>
    <cellStyle name="표준 2 2 3 6 7" xfId="11962"/>
    <cellStyle name="표준 2 2 3 7" xfId="616"/>
    <cellStyle name="표준 2 2 3 7 2" xfId="1412"/>
    <cellStyle name="표준 2 2 3 7 2 2" xfId="10383"/>
    <cellStyle name="표준 2 2 3 7 2 2 2" xfId="21631"/>
    <cellStyle name="표준 2 2 3 7 2 3" xfId="7945"/>
    <cellStyle name="표준 2 2 3 7 2 3 2" xfId="19193"/>
    <cellStyle name="표준 2 2 3 7 2 4" xfId="5506"/>
    <cellStyle name="표준 2 2 3 7 2 4 2" xfId="16755"/>
    <cellStyle name="표준 2 2 3 7 2 5" xfId="3026"/>
    <cellStyle name="표준 2 2 3 7 2 5 2" xfId="14304"/>
    <cellStyle name="표준 2 2 3 7 2 6" xfId="12844"/>
    <cellStyle name="표준 2 2 3 7 3" xfId="9393"/>
    <cellStyle name="표준 2 2 3 7 3 2" xfId="20641"/>
    <cellStyle name="표준 2 2 3 7 4" xfId="6955"/>
    <cellStyle name="표준 2 2 3 7 4 2" xfId="18203"/>
    <cellStyle name="표준 2 2 3 7 5" xfId="4516"/>
    <cellStyle name="표준 2 2 3 7 5 2" xfId="15765"/>
    <cellStyle name="표준 2 2 3 7 6" xfId="2288"/>
    <cellStyle name="표준 2 2 3 7 6 2" xfId="13707"/>
    <cellStyle name="표준 2 2 3 7 7" xfId="12247"/>
    <cellStyle name="표준 2 2 3 8" xfId="1026"/>
    <cellStyle name="표준 2 2 3 8 2" xfId="9468"/>
    <cellStyle name="표준 2 2 3 8 2 2" xfId="20716"/>
    <cellStyle name="표준 2 2 3 8 3" xfId="7030"/>
    <cellStyle name="표준 2 2 3 8 3 2" xfId="18278"/>
    <cellStyle name="표준 2 2 3 8 4" xfId="4591"/>
    <cellStyle name="표준 2 2 3 8 4 2" xfId="15840"/>
    <cellStyle name="표준 2 2 3 8 5" xfId="2647"/>
    <cellStyle name="표준 2 2 3 8 5 2" xfId="13925"/>
    <cellStyle name="표준 2 2 3 8 6" xfId="12465"/>
    <cellStyle name="표준 2 2 3 9" xfId="946"/>
    <cellStyle name="표준 2 2 3 9 2" xfId="10467"/>
    <cellStyle name="표준 2 2 3 9 2 2" xfId="21715"/>
    <cellStyle name="표준 2 2 3 9 3" xfId="8029"/>
    <cellStyle name="표준 2 2 3 9 3 2" xfId="19277"/>
    <cellStyle name="표준 2 2 3 9 4" xfId="5590"/>
    <cellStyle name="표준 2 2 3 9 4 2" xfId="16839"/>
    <cellStyle name="표준 2 2 3 9 5" xfId="2568"/>
    <cellStyle name="표준 2 2 3 9 5 2" xfId="13846"/>
    <cellStyle name="표준 2 2 3 9 6" xfId="12386"/>
    <cellStyle name="표준 2 2 4" xfId="62"/>
    <cellStyle name="표준 2 2 4 10" xfId="8304"/>
    <cellStyle name="표준 2 2 4 10 2" xfId="19552"/>
    <cellStyle name="표준 2 2 4 11" xfId="5866"/>
    <cellStyle name="표준 2 2 4 11 2" xfId="17114"/>
    <cellStyle name="표준 2 2 4 12" xfId="10750"/>
    <cellStyle name="표준 2 2 4 12 2" xfId="21998"/>
    <cellStyle name="표준 2 2 4 13" xfId="3398"/>
    <cellStyle name="표준 2 2 4 13 2" xfId="14676"/>
    <cellStyle name="표준 2 2 4 14" xfId="1778"/>
    <cellStyle name="표준 2 2 4 14 2" xfId="13207"/>
    <cellStyle name="표준 2 2 4 15" xfId="11747"/>
    <cellStyle name="표준 2 2 4 2" xfId="81"/>
    <cellStyle name="표준 2 2 4 2 10" xfId="3585"/>
    <cellStyle name="표준 2 2 4 2 10 2" xfId="8484"/>
    <cellStyle name="표준 2 2 4 2 10 2 2" xfId="19732"/>
    <cellStyle name="표준 2 2 4 2 10 3" xfId="6046"/>
    <cellStyle name="표준 2 2 4 2 10 3 2" xfId="17294"/>
    <cellStyle name="표준 2 2 4 2 10 4" xfId="14856"/>
    <cellStyle name="표준 2 2 4 2 11" xfId="8305"/>
    <cellStyle name="표준 2 2 4 2 11 2" xfId="19553"/>
    <cellStyle name="표준 2 2 4 2 12" xfId="5867"/>
    <cellStyle name="표준 2 2 4 2 12 2" xfId="17115"/>
    <cellStyle name="표준 2 2 4 2 13" xfId="10751"/>
    <cellStyle name="표준 2 2 4 2 13 2" xfId="21999"/>
    <cellStyle name="표준 2 2 4 2 14" xfId="3399"/>
    <cellStyle name="표준 2 2 4 2 14 2" xfId="14677"/>
    <cellStyle name="표준 2 2 4 2 15" xfId="1797"/>
    <cellStyle name="표준 2 2 4 2 15 2" xfId="13226"/>
    <cellStyle name="표준 2 2 4 2 16" xfId="11766"/>
    <cellStyle name="표준 2 2 4 2 2" xfId="182"/>
    <cellStyle name="표준 2 2 4 2 2 10" xfId="1856"/>
    <cellStyle name="표준 2 2 4 2 2 10 2" xfId="13283"/>
    <cellStyle name="표준 2 2 4 2 2 11" xfId="11823"/>
    <cellStyle name="표준 2 2 4 2 2 2" xfId="294"/>
    <cellStyle name="표준 2 2 4 2 2 2 2" xfId="578"/>
    <cellStyle name="표준 2 2 4 2 2 2 2 2" xfId="1666"/>
    <cellStyle name="표준 2 2 4 2 2 2 2 2 2" xfId="10292"/>
    <cellStyle name="표준 2 2 4 2 2 2 2 2 2 2" xfId="21540"/>
    <cellStyle name="표준 2 2 4 2 2 2 2 2 3" xfId="7854"/>
    <cellStyle name="표준 2 2 4 2 2 2 2 2 3 2" xfId="19102"/>
    <cellStyle name="표준 2 2 4 2 2 2 2 2 4" xfId="5415"/>
    <cellStyle name="표준 2 2 4 2 2 2 2 2 4 2" xfId="16664"/>
    <cellStyle name="표준 2 2 4 2 2 2 2 2 5" xfId="3278"/>
    <cellStyle name="표준 2 2 4 2 2 2 2 2 5 2" xfId="14556"/>
    <cellStyle name="표준 2 2 4 2 2 2 2 2 6" xfId="13096"/>
    <cellStyle name="표준 2 2 4 2 2 2 2 3" xfId="9302"/>
    <cellStyle name="표준 2 2 4 2 2 2 2 3 2" xfId="20550"/>
    <cellStyle name="표준 2 2 4 2 2 2 2 4" xfId="6864"/>
    <cellStyle name="표준 2 2 4 2 2 2 2 4 2" xfId="18112"/>
    <cellStyle name="표준 2 2 4 2 2 2 2 5" xfId="4423"/>
    <cellStyle name="표준 2 2 4 2 2 2 2 5 2" xfId="15674"/>
    <cellStyle name="표준 2 2 4 2 2 2 2 6" xfId="2250"/>
    <cellStyle name="표준 2 2 4 2 2 2 2 6 2" xfId="13677"/>
    <cellStyle name="표준 2 2 4 2 2 2 2 7" xfId="12217"/>
    <cellStyle name="표준 2 2 4 2 2 2 3" xfId="1281"/>
    <cellStyle name="표준 2 2 4 2 2 2 3 2" xfId="9839"/>
    <cellStyle name="표준 2 2 4 2 2 2 3 2 2" xfId="21087"/>
    <cellStyle name="표준 2 2 4 2 2 2 3 3" xfId="7401"/>
    <cellStyle name="표준 2 2 4 2 2 2 3 3 2" xfId="18649"/>
    <cellStyle name="표준 2 2 4 2 2 2 3 4" xfId="4962"/>
    <cellStyle name="표준 2 2 4 2 2 2 3 4 2" xfId="16211"/>
    <cellStyle name="표준 2 2 4 2 2 2 3 5" xfId="2902"/>
    <cellStyle name="표준 2 2 4 2 2 2 3 5 2" xfId="14180"/>
    <cellStyle name="표준 2 2 4 2 2 2 3 6" xfId="12720"/>
    <cellStyle name="표준 2 2 4 2 2 2 4" xfId="8849"/>
    <cellStyle name="표준 2 2 4 2 2 2 4 2" xfId="20097"/>
    <cellStyle name="표준 2 2 4 2 2 2 5" xfId="6411"/>
    <cellStyle name="표준 2 2 4 2 2 2 5 2" xfId="17659"/>
    <cellStyle name="표준 2 2 4 2 2 2 6" xfId="11019"/>
    <cellStyle name="표준 2 2 4 2 2 2 6 2" xfId="22266"/>
    <cellStyle name="표준 2 2 4 2 2 2 7" xfId="3970"/>
    <cellStyle name="표준 2 2 4 2 2 2 7 2" xfId="15221"/>
    <cellStyle name="표준 2 2 4 2 2 2 8" xfId="1966"/>
    <cellStyle name="표준 2 2 4 2 2 2 8 2" xfId="13393"/>
    <cellStyle name="표준 2 2 4 2 2 2 9" xfId="11933"/>
    <cellStyle name="표준 2 2 4 2 2 3" xfId="468"/>
    <cellStyle name="표준 2 2 4 2 2 3 2" xfId="1561"/>
    <cellStyle name="표준 2 2 4 2 2 3 2 2" xfId="10065"/>
    <cellStyle name="표준 2 2 4 2 2 3 2 2 2" xfId="21313"/>
    <cellStyle name="표준 2 2 4 2 2 3 2 3" xfId="7627"/>
    <cellStyle name="표준 2 2 4 2 2 3 2 3 2" xfId="18875"/>
    <cellStyle name="표준 2 2 4 2 2 3 2 4" xfId="5188"/>
    <cellStyle name="표준 2 2 4 2 2 3 2 4 2" xfId="16437"/>
    <cellStyle name="표준 2 2 4 2 2 3 2 5" xfId="3173"/>
    <cellStyle name="표준 2 2 4 2 2 3 2 5 2" xfId="14451"/>
    <cellStyle name="표준 2 2 4 2 2 3 2 6" xfId="12991"/>
    <cellStyle name="표준 2 2 4 2 2 3 3" xfId="9075"/>
    <cellStyle name="표준 2 2 4 2 2 3 3 2" xfId="20323"/>
    <cellStyle name="표준 2 2 4 2 2 3 4" xfId="6637"/>
    <cellStyle name="표준 2 2 4 2 2 3 4 2" xfId="17885"/>
    <cellStyle name="표준 2 2 4 2 2 3 5" xfId="4196"/>
    <cellStyle name="표준 2 2 4 2 2 3 5 2" xfId="15447"/>
    <cellStyle name="표준 2 2 4 2 2 3 6" xfId="2140"/>
    <cellStyle name="표준 2 2 4 2 2 3 6 2" xfId="13567"/>
    <cellStyle name="표준 2 2 4 2 2 3 7" xfId="12107"/>
    <cellStyle name="표준 2 2 4 2 2 4" xfId="762"/>
    <cellStyle name="표준 2 2 4 2 2 4 2" xfId="9613"/>
    <cellStyle name="표준 2 2 4 2 2 4 2 2" xfId="20861"/>
    <cellStyle name="표준 2 2 4 2 2 4 3" xfId="7175"/>
    <cellStyle name="표준 2 2 4 2 2 4 3 2" xfId="18423"/>
    <cellStyle name="표준 2 2 4 2 2 4 4" xfId="4736"/>
    <cellStyle name="표준 2 2 4 2 2 4 4 2" xfId="15985"/>
    <cellStyle name="표준 2 2 4 2 2 4 5" xfId="2389"/>
    <cellStyle name="표준 2 2 4 2 2 4 5 2" xfId="13784"/>
    <cellStyle name="표준 2 2 4 2 2 4 6" xfId="12324"/>
    <cellStyle name="표준 2 2 4 2 2 5" xfId="1171"/>
    <cellStyle name="표준 2 2 4 2 2 5 2" xfId="8623"/>
    <cellStyle name="표준 2 2 4 2 2 5 2 2" xfId="19871"/>
    <cellStyle name="표준 2 2 4 2 2 5 3" xfId="6185"/>
    <cellStyle name="표준 2 2 4 2 2 5 3 2" xfId="17433"/>
    <cellStyle name="표준 2 2 4 2 2 5 4" xfId="3744"/>
    <cellStyle name="표준 2 2 4 2 2 5 4 2" xfId="14995"/>
    <cellStyle name="표준 2 2 4 2 2 5 5" xfId="2792"/>
    <cellStyle name="표준 2 2 4 2 2 5 5 2" xfId="14070"/>
    <cellStyle name="표준 2 2 4 2 2 5 6" xfId="12610"/>
    <cellStyle name="표준 2 2 4 2 2 6" xfId="8388"/>
    <cellStyle name="표준 2 2 4 2 2 6 2" xfId="19636"/>
    <cellStyle name="표준 2 2 4 2 2 7" xfId="5950"/>
    <cellStyle name="표준 2 2 4 2 2 7 2" xfId="17198"/>
    <cellStyle name="표준 2 2 4 2 2 8" xfId="10834"/>
    <cellStyle name="표준 2 2 4 2 2 8 2" xfId="22082"/>
    <cellStyle name="표준 2 2 4 2 2 9" xfId="3488"/>
    <cellStyle name="표준 2 2 4 2 2 9 2" xfId="14760"/>
    <cellStyle name="표준 2 2 4 2 3" xfId="237"/>
    <cellStyle name="표준 2 2 4 2 3 2" xfId="521"/>
    <cellStyle name="표준 2 2 4 2 3 2 2" xfId="1609"/>
    <cellStyle name="표준 2 2 4 2 3 2 2 2" xfId="10206"/>
    <cellStyle name="표준 2 2 4 2 3 2 2 2 2" xfId="21454"/>
    <cellStyle name="표준 2 2 4 2 3 2 2 3" xfId="7768"/>
    <cellStyle name="표준 2 2 4 2 3 2 2 3 2" xfId="19016"/>
    <cellStyle name="표준 2 2 4 2 3 2 2 4" xfId="5329"/>
    <cellStyle name="표준 2 2 4 2 3 2 2 4 2" xfId="16578"/>
    <cellStyle name="표준 2 2 4 2 3 2 2 5" xfId="3221"/>
    <cellStyle name="표준 2 2 4 2 3 2 2 5 2" xfId="14499"/>
    <cellStyle name="표준 2 2 4 2 3 2 2 6" xfId="13039"/>
    <cellStyle name="표준 2 2 4 2 3 2 3" xfId="9216"/>
    <cellStyle name="표준 2 2 4 2 3 2 3 2" xfId="20464"/>
    <cellStyle name="표준 2 2 4 2 3 2 4" xfId="6778"/>
    <cellStyle name="표준 2 2 4 2 3 2 4 2" xfId="18026"/>
    <cellStyle name="표준 2 2 4 2 3 2 5" xfId="4337"/>
    <cellStyle name="표준 2 2 4 2 3 2 5 2" xfId="15588"/>
    <cellStyle name="표준 2 2 4 2 3 2 6" xfId="2193"/>
    <cellStyle name="표준 2 2 4 2 3 2 6 2" xfId="13620"/>
    <cellStyle name="표준 2 2 4 2 3 2 7" xfId="12160"/>
    <cellStyle name="표준 2 2 4 2 3 3" xfId="1224"/>
    <cellStyle name="표준 2 2 4 2 3 3 2" xfId="9753"/>
    <cellStyle name="표준 2 2 4 2 3 3 2 2" xfId="21001"/>
    <cellStyle name="표준 2 2 4 2 3 3 3" xfId="7315"/>
    <cellStyle name="표준 2 2 4 2 3 3 3 2" xfId="18563"/>
    <cellStyle name="표준 2 2 4 2 3 3 4" xfId="4876"/>
    <cellStyle name="표준 2 2 4 2 3 3 4 2" xfId="16125"/>
    <cellStyle name="표준 2 2 4 2 3 3 5" xfId="2845"/>
    <cellStyle name="표준 2 2 4 2 3 3 5 2" xfId="14123"/>
    <cellStyle name="표준 2 2 4 2 3 3 6" xfId="12663"/>
    <cellStyle name="표준 2 2 4 2 3 4" xfId="8763"/>
    <cellStyle name="표준 2 2 4 2 3 4 2" xfId="20011"/>
    <cellStyle name="표준 2 2 4 2 3 5" xfId="6325"/>
    <cellStyle name="표준 2 2 4 2 3 5 2" xfId="17573"/>
    <cellStyle name="표준 2 2 4 2 3 6" xfId="10936"/>
    <cellStyle name="표준 2 2 4 2 3 6 2" xfId="22183"/>
    <cellStyle name="표준 2 2 4 2 3 7" xfId="3884"/>
    <cellStyle name="표준 2 2 4 2 3 7 2" xfId="15135"/>
    <cellStyle name="표준 2 2 4 2 3 8" xfId="1909"/>
    <cellStyle name="표준 2 2 4 2 3 8 2" xfId="13336"/>
    <cellStyle name="표준 2 2 4 2 3 9" xfId="11876"/>
    <cellStyle name="표준 2 2 4 2 4" xfId="411"/>
    <cellStyle name="표준 2 2 4 2 4 2" xfId="1509"/>
    <cellStyle name="표준 2 2 4 2 4 2 2" xfId="9979"/>
    <cellStyle name="표준 2 2 4 2 4 2 2 2" xfId="21227"/>
    <cellStyle name="표준 2 2 4 2 4 2 3" xfId="7541"/>
    <cellStyle name="표준 2 2 4 2 4 2 3 2" xfId="18789"/>
    <cellStyle name="표준 2 2 4 2 4 2 4" xfId="5102"/>
    <cellStyle name="표준 2 2 4 2 4 2 4 2" xfId="16351"/>
    <cellStyle name="표준 2 2 4 2 4 2 5" xfId="3121"/>
    <cellStyle name="표준 2 2 4 2 4 2 5 2" xfId="14399"/>
    <cellStyle name="표준 2 2 4 2 4 2 6" xfId="12939"/>
    <cellStyle name="표준 2 2 4 2 4 3" xfId="1114"/>
    <cellStyle name="표준 2 2 4 2 4 3 2" xfId="8989"/>
    <cellStyle name="표준 2 2 4 2 4 3 2 2" xfId="20237"/>
    <cellStyle name="표준 2 2 4 2 4 3 3" xfId="2735"/>
    <cellStyle name="표준 2 2 4 2 4 3 3 2" xfId="14013"/>
    <cellStyle name="표준 2 2 4 2 4 3 4" xfId="12553"/>
    <cellStyle name="표준 2 2 4 2 4 4" xfId="6551"/>
    <cellStyle name="표준 2 2 4 2 4 4 2" xfId="17799"/>
    <cellStyle name="표준 2 2 4 2 4 5" xfId="4110"/>
    <cellStyle name="표준 2 2 4 2 4 5 2" xfId="15361"/>
    <cellStyle name="표준 2 2 4 2 4 6" xfId="2083"/>
    <cellStyle name="표준 2 2 4 2 4 6 2" xfId="13510"/>
    <cellStyle name="표준 2 2 4 2 4 7" xfId="12050"/>
    <cellStyle name="표준 2 2 4 2 5" xfId="358"/>
    <cellStyle name="표준 2 2 4 2 5 2" xfId="1707"/>
    <cellStyle name="표준 2 2 4 2 5 2 2" xfId="10386"/>
    <cellStyle name="표준 2 2 4 2 5 2 2 2" xfId="21634"/>
    <cellStyle name="표준 2 2 4 2 5 2 3" xfId="7948"/>
    <cellStyle name="표준 2 2 4 2 5 2 3 2" xfId="19196"/>
    <cellStyle name="표준 2 2 4 2 5 2 4" xfId="5509"/>
    <cellStyle name="표준 2 2 4 2 5 2 4 2" xfId="16758"/>
    <cellStyle name="표준 2 2 4 2 5 2 5" xfId="3319"/>
    <cellStyle name="표준 2 2 4 2 5 2 5 2" xfId="14597"/>
    <cellStyle name="표준 2 2 4 2 5 2 6" xfId="13137"/>
    <cellStyle name="표준 2 2 4 2 5 3" xfId="1325"/>
    <cellStyle name="표준 2 2 4 2 5 3 2" xfId="9396"/>
    <cellStyle name="표준 2 2 4 2 5 3 2 2" xfId="20644"/>
    <cellStyle name="표준 2 2 4 2 5 3 3" xfId="2946"/>
    <cellStyle name="표준 2 2 4 2 5 3 3 2" xfId="14224"/>
    <cellStyle name="표준 2 2 4 2 5 3 4" xfId="12764"/>
    <cellStyle name="표준 2 2 4 2 5 4" xfId="6958"/>
    <cellStyle name="표준 2 2 4 2 5 4 2" xfId="18206"/>
    <cellStyle name="표준 2 2 4 2 5 5" xfId="4519"/>
    <cellStyle name="표준 2 2 4 2 5 5 2" xfId="15768"/>
    <cellStyle name="표준 2 2 4 2 5 6" xfId="2030"/>
    <cellStyle name="표준 2 2 4 2 5 6 2" xfId="13457"/>
    <cellStyle name="표준 2 2 4 2 5 7" xfId="11997"/>
    <cellStyle name="표준 2 2 4 2 6" xfId="701"/>
    <cellStyle name="표준 2 2 4 2 6 2" xfId="1415"/>
    <cellStyle name="표준 2 2 4 2 6 2 2" xfId="9527"/>
    <cellStyle name="표준 2 2 4 2 6 2 2 2" xfId="20775"/>
    <cellStyle name="표준 2 2 4 2 6 2 3" xfId="3029"/>
    <cellStyle name="표준 2 2 4 2 6 2 3 2" xfId="14307"/>
    <cellStyle name="표준 2 2 4 2 6 2 4" xfId="12847"/>
    <cellStyle name="표준 2 2 4 2 6 3" xfId="7089"/>
    <cellStyle name="표준 2 2 4 2 6 3 2" xfId="18337"/>
    <cellStyle name="표준 2 2 4 2 6 4" xfId="4650"/>
    <cellStyle name="표준 2 2 4 2 6 4 2" xfId="15899"/>
    <cellStyle name="표준 2 2 4 2 6 5" xfId="2333"/>
    <cellStyle name="표준 2 2 4 2 6 5 2" xfId="13746"/>
    <cellStyle name="표준 2 2 4 2 6 6" xfId="12286"/>
    <cellStyle name="표준 2 2 4 2 7" xfId="1061"/>
    <cellStyle name="표준 2 2 4 2 7 2" xfId="10470"/>
    <cellStyle name="표준 2 2 4 2 7 2 2" xfId="21718"/>
    <cellStyle name="표준 2 2 4 2 7 3" xfId="8032"/>
    <cellStyle name="표준 2 2 4 2 7 3 2" xfId="19280"/>
    <cellStyle name="표준 2 2 4 2 7 4" xfId="5593"/>
    <cellStyle name="표준 2 2 4 2 7 4 2" xfId="16842"/>
    <cellStyle name="표준 2 2 4 2 7 5" xfId="2682"/>
    <cellStyle name="표준 2 2 4 2 7 5 2" xfId="13960"/>
    <cellStyle name="표준 2 2 4 2 7 6" xfId="12500"/>
    <cellStyle name="표준 2 2 4 2 8" xfId="997"/>
    <cellStyle name="표준 2 2 4 2 8 2" xfId="10576"/>
    <cellStyle name="표준 2 2 4 2 8 2 2" xfId="21824"/>
    <cellStyle name="표준 2 2 4 2 8 3" xfId="8138"/>
    <cellStyle name="표준 2 2 4 2 8 3 2" xfId="19386"/>
    <cellStyle name="표준 2 2 4 2 8 4" xfId="5699"/>
    <cellStyle name="표준 2 2 4 2 8 4 2" xfId="16948"/>
    <cellStyle name="표준 2 2 4 2 8 5" xfId="2618"/>
    <cellStyle name="표준 2 2 4 2 8 5 2" xfId="13896"/>
    <cellStyle name="표준 2 2 4 2 8 6" xfId="12436"/>
    <cellStyle name="표준 2 2 4 2 9" xfId="5782"/>
    <cellStyle name="표준 2 2 4 2 9 2" xfId="10659"/>
    <cellStyle name="표준 2 2 4 2 9 2 2" xfId="21907"/>
    <cellStyle name="표준 2 2 4 2 9 3" xfId="8221"/>
    <cellStyle name="표준 2 2 4 2 9 3 2" xfId="19469"/>
    <cellStyle name="표준 2 2 4 2 9 4" xfId="17031"/>
    <cellStyle name="표준 2 2 4 3" xfId="110"/>
    <cellStyle name="표준 2 2 4 3 10" xfId="1826"/>
    <cellStyle name="표준 2 2 4 3 10 2" xfId="13255"/>
    <cellStyle name="표준 2 2 4 3 11" xfId="11795"/>
    <cellStyle name="표준 2 2 4 3 2" xfId="266"/>
    <cellStyle name="표준 2 2 4 3 2 2" xfId="550"/>
    <cellStyle name="표준 2 2 4 3 2 2 2" xfId="1638"/>
    <cellStyle name="표준 2 2 4 3 2 2 2 2" xfId="10205"/>
    <cellStyle name="표준 2 2 4 3 2 2 2 2 2" xfId="21453"/>
    <cellStyle name="표준 2 2 4 3 2 2 2 3" xfId="7767"/>
    <cellStyle name="표준 2 2 4 3 2 2 2 3 2" xfId="19015"/>
    <cellStyle name="표준 2 2 4 3 2 2 2 4" xfId="5328"/>
    <cellStyle name="표준 2 2 4 3 2 2 2 4 2" xfId="16577"/>
    <cellStyle name="표준 2 2 4 3 2 2 2 5" xfId="3250"/>
    <cellStyle name="표준 2 2 4 3 2 2 2 5 2" xfId="14528"/>
    <cellStyle name="표준 2 2 4 3 2 2 2 6" xfId="13068"/>
    <cellStyle name="표준 2 2 4 3 2 2 3" xfId="9215"/>
    <cellStyle name="표준 2 2 4 3 2 2 3 2" xfId="20463"/>
    <cellStyle name="표준 2 2 4 3 2 2 4" xfId="6777"/>
    <cellStyle name="표준 2 2 4 3 2 2 4 2" xfId="18025"/>
    <cellStyle name="표준 2 2 4 3 2 2 5" xfId="4336"/>
    <cellStyle name="표준 2 2 4 3 2 2 5 2" xfId="15587"/>
    <cellStyle name="표준 2 2 4 3 2 2 6" xfId="2222"/>
    <cellStyle name="표준 2 2 4 3 2 2 6 2" xfId="13649"/>
    <cellStyle name="표준 2 2 4 3 2 2 7" xfId="12189"/>
    <cellStyle name="표준 2 2 4 3 2 3" xfId="1253"/>
    <cellStyle name="표준 2 2 4 3 2 3 2" xfId="9752"/>
    <cellStyle name="표준 2 2 4 3 2 3 2 2" xfId="21000"/>
    <cellStyle name="표준 2 2 4 3 2 3 3" xfId="7314"/>
    <cellStyle name="표준 2 2 4 3 2 3 3 2" xfId="18562"/>
    <cellStyle name="표준 2 2 4 3 2 3 4" xfId="4875"/>
    <cellStyle name="표준 2 2 4 3 2 3 4 2" xfId="16124"/>
    <cellStyle name="표준 2 2 4 3 2 3 5" xfId="2874"/>
    <cellStyle name="표준 2 2 4 3 2 3 5 2" xfId="14152"/>
    <cellStyle name="표준 2 2 4 3 2 3 6" xfId="12692"/>
    <cellStyle name="표준 2 2 4 3 2 4" xfId="8762"/>
    <cellStyle name="표준 2 2 4 3 2 4 2" xfId="20010"/>
    <cellStyle name="표준 2 2 4 3 2 5" xfId="6324"/>
    <cellStyle name="표준 2 2 4 3 2 5 2" xfId="17572"/>
    <cellStyle name="표준 2 2 4 3 2 6" xfId="11018"/>
    <cellStyle name="표준 2 2 4 3 2 6 2" xfId="22265"/>
    <cellStyle name="표준 2 2 4 3 2 7" xfId="3883"/>
    <cellStyle name="표준 2 2 4 3 2 7 2" xfId="15134"/>
    <cellStyle name="표준 2 2 4 3 2 8" xfId="1938"/>
    <cellStyle name="표준 2 2 4 3 2 8 2" xfId="13365"/>
    <cellStyle name="표준 2 2 4 3 2 9" xfId="11905"/>
    <cellStyle name="표준 2 2 4 3 3" xfId="440"/>
    <cellStyle name="표준 2 2 4 3 3 2" xfId="1533"/>
    <cellStyle name="표준 2 2 4 3 3 2 2" xfId="9978"/>
    <cellStyle name="표준 2 2 4 3 3 2 2 2" xfId="21226"/>
    <cellStyle name="표준 2 2 4 3 3 2 3" xfId="7540"/>
    <cellStyle name="표준 2 2 4 3 3 2 3 2" xfId="18788"/>
    <cellStyle name="표준 2 2 4 3 3 2 4" xfId="5101"/>
    <cellStyle name="표준 2 2 4 3 3 2 4 2" xfId="16350"/>
    <cellStyle name="표준 2 2 4 3 3 2 5" xfId="3145"/>
    <cellStyle name="표준 2 2 4 3 3 2 5 2" xfId="14423"/>
    <cellStyle name="표준 2 2 4 3 3 2 6" xfId="12963"/>
    <cellStyle name="표준 2 2 4 3 3 3" xfId="8988"/>
    <cellStyle name="표준 2 2 4 3 3 3 2" xfId="20236"/>
    <cellStyle name="표준 2 2 4 3 3 4" xfId="6550"/>
    <cellStyle name="표준 2 2 4 3 3 4 2" xfId="17798"/>
    <cellStyle name="표준 2 2 4 3 3 5" xfId="4109"/>
    <cellStyle name="표준 2 2 4 3 3 5 2" xfId="15360"/>
    <cellStyle name="표준 2 2 4 3 3 6" xfId="2112"/>
    <cellStyle name="표준 2 2 4 3 3 6 2" xfId="13539"/>
    <cellStyle name="표준 2 2 4 3 3 7" xfId="12079"/>
    <cellStyle name="표준 2 2 4 3 4" xfId="761"/>
    <cellStyle name="표준 2 2 4 3 4 2" xfId="9526"/>
    <cellStyle name="표준 2 2 4 3 4 2 2" xfId="20774"/>
    <cellStyle name="표준 2 2 4 3 4 3" xfId="7088"/>
    <cellStyle name="표준 2 2 4 3 4 3 2" xfId="18336"/>
    <cellStyle name="표준 2 2 4 3 4 4" xfId="4649"/>
    <cellStyle name="표준 2 2 4 3 4 4 2" xfId="15898"/>
    <cellStyle name="표준 2 2 4 3 4 5" xfId="2388"/>
    <cellStyle name="표준 2 2 4 3 4 5 2" xfId="13783"/>
    <cellStyle name="표준 2 2 4 3 4 6" xfId="12323"/>
    <cellStyle name="표준 2 2 4 3 5" xfId="1143"/>
    <cellStyle name="표준 2 2 4 3 5 2" xfId="8566"/>
    <cellStyle name="표준 2 2 4 3 5 2 2" xfId="19814"/>
    <cellStyle name="표준 2 2 4 3 5 3" xfId="6128"/>
    <cellStyle name="표준 2 2 4 3 5 3 2" xfId="17376"/>
    <cellStyle name="표준 2 2 4 3 5 4" xfId="3687"/>
    <cellStyle name="표준 2 2 4 3 5 4 2" xfId="14938"/>
    <cellStyle name="표준 2 2 4 3 5 5" xfId="2764"/>
    <cellStyle name="표준 2 2 4 3 5 5 2" xfId="14042"/>
    <cellStyle name="표준 2 2 4 3 5 6" xfId="12582"/>
    <cellStyle name="표준 2 2 4 3 6" xfId="8387"/>
    <cellStyle name="표준 2 2 4 3 6 2" xfId="19635"/>
    <cellStyle name="표준 2 2 4 3 7" xfId="5949"/>
    <cellStyle name="표준 2 2 4 3 7 2" xfId="17197"/>
    <cellStyle name="표준 2 2 4 3 8" xfId="10833"/>
    <cellStyle name="표준 2 2 4 3 8 2" xfId="22081"/>
    <cellStyle name="표준 2 2 4 3 9" xfId="3487"/>
    <cellStyle name="표준 2 2 4 3 9 2" xfId="14759"/>
    <cellStyle name="표준 2 2 4 4" xfId="218"/>
    <cellStyle name="표준 2 2 4 4 10" xfId="11857"/>
    <cellStyle name="표준 2 2 4 4 2" xfId="502"/>
    <cellStyle name="표준 2 2 4 4 2 2" xfId="1590"/>
    <cellStyle name="표준 2 2 4 4 2 2 2" xfId="5414"/>
    <cellStyle name="표준 2 2 4 4 2 2 2 2" xfId="10291"/>
    <cellStyle name="표준 2 2 4 4 2 2 2 2 2" xfId="21539"/>
    <cellStyle name="표준 2 2 4 4 2 2 2 3" xfId="7853"/>
    <cellStyle name="표준 2 2 4 4 2 2 2 3 2" xfId="19101"/>
    <cellStyle name="표준 2 2 4 4 2 2 2 4" xfId="16663"/>
    <cellStyle name="표준 2 2 4 4 2 2 3" xfId="9301"/>
    <cellStyle name="표준 2 2 4 4 2 2 3 2" xfId="20549"/>
    <cellStyle name="표준 2 2 4 4 2 2 4" xfId="6863"/>
    <cellStyle name="표준 2 2 4 4 2 2 4 2" xfId="18111"/>
    <cellStyle name="표준 2 2 4 4 2 2 5" xfId="4422"/>
    <cellStyle name="표준 2 2 4 4 2 2 5 2" xfId="15673"/>
    <cellStyle name="표준 2 2 4 4 2 2 6" xfId="3202"/>
    <cellStyle name="표준 2 2 4 4 2 2 6 2" xfId="14480"/>
    <cellStyle name="표준 2 2 4 4 2 2 7" xfId="13020"/>
    <cellStyle name="표준 2 2 4 4 2 3" xfId="4961"/>
    <cellStyle name="표준 2 2 4 4 2 3 2" xfId="9838"/>
    <cellStyle name="표준 2 2 4 4 2 3 2 2" xfId="21086"/>
    <cellStyle name="표준 2 2 4 4 2 3 3" xfId="7400"/>
    <cellStyle name="표준 2 2 4 4 2 3 3 2" xfId="18648"/>
    <cellStyle name="표준 2 2 4 4 2 3 4" xfId="16210"/>
    <cellStyle name="표준 2 2 4 4 2 4" xfId="8848"/>
    <cellStyle name="표준 2 2 4 4 2 4 2" xfId="20096"/>
    <cellStyle name="표준 2 2 4 4 2 5" xfId="6410"/>
    <cellStyle name="표준 2 2 4 4 2 5 2" xfId="17658"/>
    <cellStyle name="표준 2 2 4 4 2 6" xfId="3969"/>
    <cellStyle name="표준 2 2 4 4 2 6 2" xfId="15220"/>
    <cellStyle name="표준 2 2 4 4 2 7" xfId="2174"/>
    <cellStyle name="표준 2 2 4 4 2 7 2" xfId="13601"/>
    <cellStyle name="표준 2 2 4 4 2 8" xfId="12141"/>
    <cellStyle name="표준 2 2 4 4 3" xfId="1205"/>
    <cellStyle name="표준 2 2 4 4 3 2" xfId="5187"/>
    <cellStyle name="표준 2 2 4 4 3 2 2" xfId="10064"/>
    <cellStyle name="표준 2 2 4 4 3 2 2 2" xfId="21312"/>
    <cellStyle name="표준 2 2 4 4 3 2 3" xfId="7626"/>
    <cellStyle name="표준 2 2 4 4 3 2 3 2" xfId="18874"/>
    <cellStyle name="표준 2 2 4 4 3 2 4" xfId="16436"/>
    <cellStyle name="표준 2 2 4 4 3 3" xfId="9074"/>
    <cellStyle name="표준 2 2 4 4 3 3 2" xfId="20322"/>
    <cellStyle name="표준 2 2 4 4 3 4" xfId="6636"/>
    <cellStyle name="표준 2 2 4 4 3 4 2" xfId="17884"/>
    <cellStyle name="표준 2 2 4 4 3 5" xfId="4195"/>
    <cellStyle name="표준 2 2 4 4 3 5 2" xfId="15446"/>
    <cellStyle name="표준 2 2 4 4 3 6" xfId="2826"/>
    <cellStyle name="표준 2 2 4 4 3 6 2" xfId="14104"/>
    <cellStyle name="표준 2 2 4 4 3 7" xfId="12644"/>
    <cellStyle name="표준 2 2 4 4 4" xfId="4735"/>
    <cellStyle name="표준 2 2 4 4 4 2" xfId="9612"/>
    <cellStyle name="표준 2 2 4 4 4 2 2" xfId="20860"/>
    <cellStyle name="표준 2 2 4 4 4 3" xfId="7174"/>
    <cellStyle name="표준 2 2 4 4 4 3 2" xfId="18422"/>
    <cellStyle name="표준 2 2 4 4 4 4" xfId="15984"/>
    <cellStyle name="표준 2 2 4 4 5" xfId="8622"/>
    <cellStyle name="표준 2 2 4 4 5 2" xfId="19870"/>
    <cellStyle name="표준 2 2 4 4 6" xfId="6184"/>
    <cellStyle name="표준 2 2 4 4 6 2" xfId="17432"/>
    <cellStyle name="표준 2 2 4 4 7" xfId="10935"/>
    <cellStyle name="표준 2 2 4 4 7 2" xfId="22182"/>
    <cellStyle name="표준 2 2 4 4 8" xfId="3743"/>
    <cellStyle name="표준 2 2 4 4 8 2" xfId="14994"/>
    <cellStyle name="표준 2 2 4 4 9" xfId="1890"/>
    <cellStyle name="표준 2 2 4 4 9 2" xfId="13317"/>
    <cellStyle name="표준 2 2 4 5" xfId="392"/>
    <cellStyle name="표준 2 2 4 5 2" xfId="1490"/>
    <cellStyle name="표준 2 2 4 5 2 2" xfId="10385"/>
    <cellStyle name="표준 2 2 4 5 2 2 2" xfId="21633"/>
    <cellStyle name="표준 2 2 4 5 2 3" xfId="7947"/>
    <cellStyle name="표준 2 2 4 5 2 3 2" xfId="19195"/>
    <cellStyle name="표준 2 2 4 5 2 4" xfId="5508"/>
    <cellStyle name="표준 2 2 4 5 2 4 2" xfId="16757"/>
    <cellStyle name="표준 2 2 4 5 2 5" xfId="3102"/>
    <cellStyle name="표준 2 2 4 5 2 5 2" xfId="14380"/>
    <cellStyle name="표준 2 2 4 5 2 6" xfId="12920"/>
    <cellStyle name="표준 2 2 4 5 3" xfId="1095"/>
    <cellStyle name="표준 2 2 4 5 3 2" xfId="9395"/>
    <cellStyle name="표준 2 2 4 5 3 2 2" xfId="20643"/>
    <cellStyle name="표준 2 2 4 5 3 3" xfId="2716"/>
    <cellStyle name="표준 2 2 4 5 3 3 2" xfId="13994"/>
    <cellStyle name="표준 2 2 4 5 3 4" xfId="12534"/>
    <cellStyle name="표준 2 2 4 5 4" xfId="6957"/>
    <cellStyle name="표준 2 2 4 5 4 2" xfId="18205"/>
    <cellStyle name="표준 2 2 4 5 5" xfId="4518"/>
    <cellStyle name="표준 2 2 4 5 5 2" xfId="15767"/>
    <cellStyle name="표준 2 2 4 5 6" xfId="2064"/>
    <cellStyle name="표준 2 2 4 5 6 2" xfId="13491"/>
    <cellStyle name="표준 2 2 4 5 7" xfId="12031"/>
    <cellStyle name="표준 2 2 4 6" xfId="330"/>
    <cellStyle name="표준 2 2 4 6 2" xfId="1706"/>
    <cellStyle name="표준 2 2 4 6 2 2" xfId="10469"/>
    <cellStyle name="표준 2 2 4 6 2 2 2" xfId="21717"/>
    <cellStyle name="표준 2 2 4 6 2 3" xfId="3318"/>
    <cellStyle name="표준 2 2 4 6 2 3 2" xfId="14596"/>
    <cellStyle name="표준 2 2 4 6 2 4" xfId="13136"/>
    <cellStyle name="표준 2 2 4 6 3" xfId="1324"/>
    <cellStyle name="표준 2 2 4 6 3 2" xfId="8031"/>
    <cellStyle name="표준 2 2 4 6 3 2 2" xfId="19279"/>
    <cellStyle name="표준 2 2 4 6 3 3" xfId="2945"/>
    <cellStyle name="표준 2 2 4 6 3 3 2" xfId="14223"/>
    <cellStyle name="표준 2 2 4 6 3 4" xfId="12763"/>
    <cellStyle name="표준 2 2 4 6 4" xfId="5592"/>
    <cellStyle name="표준 2 2 4 6 4 2" xfId="16841"/>
    <cellStyle name="표준 2 2 4 6 5" xfId="2002"/>
    <cellStyle name="표준 2 2 4 6 5 2" xfId="13429"/>
    <cellStyle name="표준 2 2 4 6 6" xfId="11969"/>
    <cellStyle name="표준 2 2 4 7" xfId="623"/>
    <cellStyle name="표준 2 2 4 7 2" xfId="1414"/>
    <cellStyle name="표준 2 2 4 7 2 2" xfId="10575"/>
    <cellStyle name="표준 2 2 4 7 2 2 2" xfId="21823"/>
    <cellStyle name="표준 2 2 4 7 2 3" xfId="3028"/>
    <cellStyle name="표준 2 2 4 7 2 3 2" xfId="14306"/>
    <cellStyle name="표준 2 2 4 7 2 4" xfId="12846"/>
    <cellStyle name="표준 2 2 4 7 3" xfId="8137"/>
    <cellStyle name="표준 2 2 4 7 3 2" xfId="19385"/>
    <cellStyle name="표준 2 2 4 7 4" xfId="5698"/>
    <cellStyle name="표준 2 2 4 7 4 2" xfId="16947"/>
    <cellStyle name="표준 2 2 4 7 5" xfId="2295"/>
    <cellStyle name="표준 2 2 4 7 5 2" xfId="13714"/>
    <cellStyle name="표준 2 2 4 7 6" xfId="12254"/>
    <cellStyle name="표준 2 2 4 8" xfId="1033"/>
    <cellStyle name="표준 2 2 4 8 2" xfId="5781"/>
    <cellStyle name="표준 2 2 4 8 2 2" xfId="10658"/>
    <cellStyle name="표준 2 2 4 8 2 2 2" xfId="21906"/>
    <cellStyle name="표준 2 2 4 8 2 3" xfId="8220"/>
    <cellStyle name="표준 2 2 4 8 2 3 2" xfId="19468"/>
    <cellStyle name="표준 2 2 4 8 2 4" xfId="17030"/>
    <cellStyle name="표준 2 2 4 8 3" xfId="3665"/>
    <cellStyle name="표준 2 2 4 8 4" xfId="2654"/>
    <cellStyle name="표준 2 2 4 8 4 2" xfId="13932"/>
    <cellStyle name="표준 2 2 4 8 5" xfId="12472"/>
    <cellStyle name="표준 2 2 4 9" xfId="969"/>
    <cellStyle name="표준 2 2 4 9 2" xfId="8483"/>
    <cellStyle name="표준 2 2 4 9 2 2" xfId="19731"/>
    <cellStyle name="표준 2 2 4 9 3" xfId="6045"/>
    <cellStyle name="표준 2 2 4 9 3 2" xfId="17293"/>
    <cellStyle name="표준 2 2 4 9 4" xfId="3584"/>
    <cellStyle name="표준 2 2 4 9 4 2" xfId="14855"/>
    <cellStyle name="표준 2 2 4 9 5" xfId="2591"/>
    <cellStyle name="표준 2 2 4 9 5 2" xfId="13869"/>
    <cellStyle name="표준 2 2 4 9 6" xfId="12409"/>
    <cellStyle name="표준 2 2 5" xfId="69"/>
    <cellStyle name="표준 2 2 5 10" xfId="5700"/>
    <cellStyle name="표준 2 2 5 10 2" xfId="10577"/>
    <cellStyle name="표준 2 2 5 10 2 2" xfId="21825"/>
    <cellStyle name="표준 2 2 5 10 3" xfId="8139"/>
    <cellStyle name="표준 2 2 5 10 3 2" xfId="19387"/>
    <cellStyle name="표준 2 2 5 10 4" xfId="16949"/>
    <cellStyle name="표준 2 2 5 11" xfId="5783"/>
    <cellStyle name="표준 2 2 5 11 2" xfId="10660"/>
    <cellStyle name="표준 2 2 5 11 2 2" xfId="21908"/>
    <cellStyle name="표준 2 2 5 11 3" xfId="8222"/>
    <cellStyle name="표준 2 2 5 11 3 2" xfId="19470"/>
    <cellStyle name="표준 2 2 5 11 4" xfId="17032"/>
    <cellStyle name="표준 2 2 5 12" xfId="3586"/>
    <cellStyle name="표준 2 2 5 12 2" xfId="8485"/>
    <cellStyle name="표준 2 2 5 12 2 2" xfId="19733"/>
    <cellStyle name="표준 2 2 5 12 3" xfId="6047"/>
    <cellStyle name="표준 2 2 5 12 3 2" xfId="17295"/>
    <cellStyle name="표준 2 2 5 12 4" xfId="14857"/>
    <cellStyle name="표준 2 2 5 13" xfId="8306"/>
    <cellStyle name="표준 2 2 5 13 2" xfId="19554"/>
    <cellStyle name="표준 2 2 5 14" xfId="5868"/>
    <cellStyle name="표준 2 2 5 14 2" xfId="17116"/>
    <cellStyle name="표준 2 2 5 15" xfId="10752"/>
    <cellStyle name="표준 2 2 5 15 2" xfId="22000"/>
    <cellStyle name="표준 2 2 5 16" xfId="3400"/>
    <cellStyle name="표준 2 2 5 16 2" xfId="14678"/>
    <cellStyle name="표준 2 2 5 17" xfId="1785"/>
    <cellStyle name="표준 2 2 5 17 2" xfId="13214"/>
    <cellStyle name="표준 2 2 5 18" xfId="11754"/>
    <cellStyle name="표준 2 2 5 2" xfId="190"/>
    <cellStyle name="표준 2 2 5 2 10" xfId="3587"/>
    <cellStyle name="표준 2 2 5 2 10 2" xfId="8486"/>
    <cellStyle name="표준 2 2 5 2 10 2 2" xfId="19734"/>
    <cellStyle name="표준 2 2 5 2 10 3" xfId="6048"/>
    <cellStyle name="표준 2 2 5 2 10 3 2" xfId="17296"/>
    <cellStyle name="표준 2 2 5 2 10 4" xfId="14858"/>
    <cellStyle name="표준 2 2 5 2 11" xfId="8307"/>
    <cellStyle name="표준 2 2 5 2 11 2" xfId="19555"/>
    <cellStyle name="표준 2 2 5 2 12" xfId="5869"/>
    <cellStyle name="표준 2 2 5 2 12 2" xfId="17117"/>
    <cellStyle name="표준 2 2 5 2 13" xfId="10753"/>
    <cellStyle name="표준 2 2 5 2 13 2" xfId="22001"/>
    <cellStyle name="표준 2 2 5 2 14" xfId="3401"/>
    <cellStyle name="표준 2 2 5 2 14 2" xfId="14679"/>
    <cellStyle name="표준 2 2 5 2 15" xfId="1863"/>
    <cellStyle name="표준 2 2 5 2 15 2" xfId="13290"/>
    <cellStyle name="표준 2 2 5 2 16" xfId="11830"/>
    <cellStyle name="표준 2 2 5 2 2" xfId="301"/>
    <cellStyle name="표준 2 2 5 2 2 10" xfId="1973"/>
    <cellStyle name="표준 2 2 5 2 2 10 2" xfId="13400"/>
    <cellStyle name="표준 2 2 5 2 2 11" xfId="11940"/>
    <cellStyle name="표준 2 2 5 2 2 2" xfId="585"/>
    <cellStyle name="표준 2 2 5 2 2 2 2" xfId="1673"/>
    <cellStyle name="표준 2 2 5 2 2 2 2 2" xfId="5417"/>
    <cellStyle name="표준 2 2 5 2 2 2 2 2 2" xfId="10294"/>
    <cellStyle name="표준 2 2 5 2 2 2 2 2 2 2" xfId="21542"/>
    <cellStyle name="표준 2 2 5 2 2 2 2 2 3" xfId="7856"/>
    <cellStyle name="표준 2 2 5 2 2 2 2 2 3 2" xfId="19104"/>
    <cellStyle name="표준 2 2 5 2 2 2 2 2 4" xfId="16666"/>
    <cellStyle name="표준 2 2 5 2 2 2 2 3" xfId="9304"/>
    <cellStyle name="표준 2 2 5 2 2 2 2 3 2" xfId="20552"/>
    <cellStyle name="표준 2 2 5 2 2 2 2 4" xfId="6866"/>
    <cellStyle name="표준 2 2 5 2 2 2 2 4 2" xfId="18114"/>
    <cellStyle name="표준 2 2 5 2 2 2 2 5" xfId="4425"/>
    <cellStyle name="표준 2 2 5 2 2 2 2 5 2" xfId="15676"/>
    <cellStyle name="표준 2 2 5 2 2 2 2 6" xfId="3285"/>
    <cellStyle name="표준 2 2 5 2 2 2 2 6 2" xfId="14563"/>
    <cellStyle name="표준 2 2 5 2 2 2 2 7" xfId="13103"/>
    <cellStyle name="표준 2 2 5 2 2 2 3" xfId="4964"/>
    <cellStyle name="표준 2 2 5 2 2 2 3 2" xfId="9841"/>
    <cellStyle name="표준 2 2 5 2 2 2 3 2 2" xfId="21089"/>
    <cellStyle name="표준 2 2 5 2 2 2 3 3" xfId="7403"/>
    <cellStyle name="표준 2 2 5 2 2 2 3 3 2" xfId="18651"/>
    <cellStyle name="표준 2 2 5 2 2 2 3 4" xfId="16213"/>
    <cellStyle name="표준 2 2 5 2 2 2 4" xfId="8851"/>
    <cellStyle name="표준 2 2 5 2 2 2 4 2" xfId="20099"/>
    <cellStyle name="표준 2 2 5 2 2 2 5" xfId="6413"/>
    <cellStyle name="표준 2 2 5 2 2 2 5 2" xfId="17661"/>
    <cellStyle name="표준 2 2 5 2 2 2 6" xfId="11021"/>
    <cellStyle name="표준 2 2 5 2 2 2 6 2" xfId="22268"/>
    <cellStyle name="표준 2 2 5 2 2 2 7" xfId="3972"/>
    <cellStyle name="표준 2 2 5 2 2 2 7 2" xfId="15223"/>
    <cellStyle name="표준 2 2 5 2 2 2 8" xfId="2257"/>
    <cellStyle name="표준 2 2 5 2 2 2 8 2" xfId="13684"/>
    <cellStyle name="표준 2 2 5 2 2 2 9" xfId="12224"/>
    <cellStyle name="표준 2 2 5 2 2 3" xfId="764"/>
    <cellStyle name="표준 2 2 5 2 2 3 2" xfId="5190"/>
    <cellStyle name="표준 2 2 5 2 2 3 2 2" xfId="10067"/>
    <cellStyle name="표준 2 2 5 2 2 3 2 2 2" xfId="21315"/>
    <cellStyle name="표준 2 2 5 2 2 3 2 3" xfId="7629"/>
    <cellStyle name="표준 2 2 5 2 2 3 2 3 2" xfId="18877"/>
    <cellStyle name="표준 2 2 5 2 2 3 2 4" xfId="16439"/>
    <cellStyle name="표준 2 2 5 2 2 3 3" xfId="9077"/>
    <cellStyle name="표준 2 2 5 2 2 3 3 2" xfId="20325"/>
    <cellStyle name="표준 2 2 5 2 2 3 4" xfId="6639"/>
    <cellStyle name="표준 2 2 5 2 2 3 4 2" xfId="17887"/>
    <cellStyle name="표준 2 2 5 2 2 3 5" xfId="4198"/>
    <cellStyle name="표준 2 2 5 2 2 3 5 2" xfId="15449"/>
    <cellStyle name="표준 2 2 5 2 2 3 6" xfId="2391"/>
    <cellStyle name="표준 2 2 5 2 2 3 6 2" xfId="13786"/>
    <cellStyle name="표준 2 2 5 2 2 3 7" xfId="12326"/>
    <cellStyle name="표준 2 2 5 2 2 4" xfId="1288"/>
    <cellStyle name="표준 2 2 5 2 2 4 2" xfId="9615"/>
    <cellStyle name="표준 2 2 5 2 2 4 2 2" xfId="20863"/>
    <cellStyle name="표준 2 2 5 2 2 4 3" xfId="7177"/>
    <cellStyle name="표준 2 2 5 2 2 4 3 2" xfId="18425"/>
    <cellStyle name="표준 2 2 5 2 2 4 4" xfId="4738"/>
    <cellStyle name="표준 2 2 5 2 2 4 4 2" xfId="15987"/>
    <cellStyle name="표준 2 2 5 2 2 4 5" xfId="2909"/>
    <cellStyle name="표준 2 2 5 2 2 4 5 2" xfId="14187"/>
    <cellStyle name="표준 2 2 5 2 2 4 6" xfId="12727"/>
    <cellStyle name="표준 2 2 5 2 2 5" xfId="3746"/>
    <cellStyle name="표준 2 2 5 2 2 5 2" xfId="8625"/>
    <cellStyle name="표준 2 2 5 2 2 5 2 2" xfId="19873"/>
    <cellStyle name="표준 2 2 5 2 2 5 3" xfId="6187"/>
    <cellStyle name="표준 2 2 5 2 2 5 3 2" xfId="17435"/>
    <cellStyle name="표준 2 2 5 2 2 5 4" xfId="14997"/>
    <cellStyle name="표준 2 2 5 2 2 6" xfId="8390"/>
    <cellStyle name="표준 2 2 5 2 2 6 2" xfId="19638"/>
    <cellStyle name="표준 2 2 5 2 2 7" xfId="5952"/>
    <cellStyle name="표준 2 2 5 2 2 7 2" xfId="17200"/>
    <cellStyle name="표준 2 2 5 2 2 8" xfId="10836"/>
    <cellStyle name="표준 2 2 5 2 2 8 2" xfId="22084"/>
    <cellStyle name="표준 2 2 5 2 2 9" xfId="3490"/>
    <cellStyle name="표준 2 2 5 2 2 9 2" xfId="14762"/>
    <cellStyle name="표준 2 2 5 2 3" xfId="475"/>
    <cellStyle name="표준 2 2 5 2 3 2" xfId="1568"/>
    <cellStyle name="표준 2 2 5 2 3 2 2" xfId="5331"/>
    <cellStyle name="표준 2 2 5 2 3 2 2 2" xfId="10208"/>
    <cellStyle name="표준 2 2 5 2 3 2 2 2 2" xfId="21456"/>
    <cellStyle name="표준 2 2 5 2 3 2 2 3" xfId="7770"/>
    <cellStyle name="표준 2 2 5 2 3 2 2 3 2" xfId="19018"/>
    <cellStyle name="표준 2 2 5 2 3 2 2 4" xfId="16580"/>
    <cellStyle name="표준 2 2 5 2 3 2 3" xfId="9218"/>
    <cellStyle name="표준 2 2 5 2 3 2 3 2" xfId="20466"/>
    <cellStyle name="표준 2 2 5 2 3 2 4" xfId="6780"/>
    <cellStyle name="표준 2 2 5 2 3 2 4 2" xfId="18028"/>
    <cellStyle name="표준 2 2 5 2 3 2 5" xfId="4339"/>
    <cellStyle name="표준 2 2 5 2 3 2 5 2" xfId="15590"/>
    <cellStyle name="표준 2 2 5 2 3 2 6" xfId="3180"/>
    <cellStyle name="표준 2 2 5 2 3 2 6 2" xfId="14458"/>
    <cellStyle name="표준 2 2 5 2 3 2 7" xfId="12998"/>
    <cellStyle name="표준 2 2 5 2 3 3" xfId="1178"/>
    <cellStyle name="표준 2 2 5 2 3 3 2" xfId="9755"/>
    <cellStyle name="표준 2 2 5 2 3 3 2 2" xfId="21003"/>
    <cellStyle name="표준 2 2 5 2 3 3 3" xfId="7317"/>
    <cellStyle name="표준 2 2 5 2 3 3 3 2" xfId="18565"/>
    <cellStyle name="표준 2 2 5 2 3 3 4" xfId="4878"/>
    <cellStyle name="표준 2 2 5 2 3 3 4 2" xfId="16127"/>
    <cellStyle name="표준 2 2 5 2 3 3 5" xfId="2799"/>
    <cellStyle name="표준 2 2 5 2 3 3 5 2" xfId="14077"/>
    <cellStyle name="표준 2 2 5 2 3 3 6" xfId="12617"/>
    <cellStyle name="표준 2 2 5 2 3 4" xfId="8765"/>
    <cellStyle name="표준 2 2 5 2 3 4 2" xfId="20013"/>
    <cellStyle name="표준 2 2 5 2 3 5" xfId="6327"/>
    <cellStyle name="표준 2 2 5 2 3 5 2" xfId="17575"/>
    <cellStyle name="표준 2 2 5 2 3 6" xfId="10938"/>
    <cellStyle name="표준 2 2 5 2 3 6 2" xfId="22185"/>
    <cellStyle name="표준 2 2 5 2 3 7" xfId="3886"/>
    <cellStyle name="표준 2 2 5 2 3 7 2" xfId="15137"/>
    <cellStyle name="표준 2 2 5 2 3 8" xfId="2147"/>
    <cellStyle name="표준 2 2 5 2 3 8 2" xfId="13574"/>
    <cellStyle name="표준 2 2 5 2 3 9" xfId="12114"/>
    <cellStyle name="표준 2 2 5 2 4" xfId="365"/>
    <cellStyle name="표준 2 2 5 2 4 2" xfId="1709"/>
    <cellStyle name="표준 2 2 5 2 4 2 2" xfId="9981"/>
    <cellStyle name="표준 2 2 5 2 4 2 2 2" xfId="21229"/>
    <cellStyle name="표준 2 2 5 2 4 2 3" xfId="7543"/>
    <cellStyle name="표준 2 2 5 2 4 2 3 2" xfId="18791"/>
    <cellStyle name="표준 2 2 5 2 4 2 4" xfId="5104"/>
    <cellStyle name="표준 2 2 5 2 4 2 4 2" xfId="16353"/>
    <cellStyle name="표준 2 2 5 2 4 2 5" xfId="3321"/>
    <cellStyle name="표준 2 2 5 2 4 2 5 2" xfId="14599"/>
    <cellStyle name="표준 2 2 5 2 4 2 6" xfId="13139"/>
    <cellStyle name="표준 2 2 5 2 4 3" xfId="1327"/>
    <cellStyle name="표준 2 2 5 2 4 3 2" xfId="8991"/>
    <cellStyle name="표준 2 2 5 2 4 3 2 2" xfId="20239"/>
    <cellStyle name="표준 2 2 5 2 4 3 3" xfId="2948"/>
    <cellStyle name="표준 2 2 5 2 4 3 3 2" xfId="14226"/>
    <cellStyle name="표준 2 2 5 2 4 3 4" xfId="12766"/>
    <cellStyle name="표준 2 2 5 2 4 4" xfId="6553"/>
    <cellStyle name="표준 2 2 5 2 4 4 2" xfId="17801"/>
    <cellStyle name="표준 2 2 5 2 4 5" xfId="4112"/>
    <cellStyle name="표준 2 2 5 2 4 5 2" xfId="15363"/>
    <cellStyle name="표준 2 2 5 2 4 6" xfId="2037"/>
    <cellStyle name="표준 2 2 5 2 4 6 2" xfId="13464"/>
    <cellStyle name="표준 2 2 5 2 4 7" xfId="12004"/>
    <cellStyle name="표준 2 2 5 2 5" xfId="709"/>
    <cellStyle name="표준 2 2 5 2 5 2" xfId="1417"/>
    <cellStyle name="표준 2 2 5 2 5 2 2" xfId="10388"/>
    <cellStyle name="표준 2 2 5 2 5 2 2 2" xfId="21636"/>
    <cellStyle name="표준 2 2 5 2 5 2 3" xfId="7950"/>
    <cellStyle name="표준 2 2 5 2 5 2 3 2" xfId="19198"/>
    <cellStyle name="표준 2 2 5 2 5 2 4" xfId="5511"/>
    <cellStyle name="표준 2 2 5 2 5 2 4 2" xfId="16760"/>
    <cellStyle name="표준 2 2 5 2 5 2 5" xfId="3031"/>
    <cellStyle name="표준 2 2 5 2 5 2 5 2" xfId="14309"/>
    <cellStyle name="표준 2 2 5 2 5 2 6" xfId="12849"/>
    <cellStyle name="표준 2 2 5 2 5 3" xfId="9398"/>
    <cellStyle name="표준 2 2 5 2 5 3 2" xfId="20646"/>
    <cellStyle name="표준 2 2 5 2 5 4" xfId="6960"/>
    <cellStyle name="표준 2 2 5 2 5 4 2" xfId="18208"/>
    <cellStyle name="표준 2 2 5 2 5 5" xfId="4521"/>
    <cellStyle name="표준 2 2 5 2 5 5 2" xfId="15770"/>
    <cellStyle name="표준 2 2 5 2 5 6" xfId="2341"/>
    <cellStyle name="표준 2 2 5 2 5 6 2" xfId="13754"/>
    <cellStyle name="표준 2 2 5 2 5 7" xfId="12294"/>
    <cellStyle name="표준 2 2 5 2 6" xfId="1068"/>
    <cellStyle name="표준 2 2 5 2 6 2" xfId="9529"/>
    <cellStyle name="표준 2 2 5 2 6 2 2" xfId="20777"/>
    <cellStyle name="표준 2 2 5 2 6 3" xfId="7091"/>
    <cellStyle name="표준 2 2 5 2 6 3 2" xfId="18339"/>
    <cellStyle name="표준 2 2 5 2 6 4" xfId="4652"/>
    <cellStyle name="표준 2 2 5 2 6 4 2" xfId="15901"/>
    <cellStyle name="표준 2 2 5 2 6 5" xfId="2689"/>
    <cellStyle name="표준 2 2 5 2 6 5 2" xfId="13967"/>
    <cellStyle name="표준 2 2 5 2 6 6" xfId="12507"/>
    <cellStyle name="표준 2 2 5 2 7" xfId="1004"/>
    <cellStyle name="표준 2 2 5 2 7 2" xfId="10472"/>
    <cellStyle name="표준 2 2 5 2 7 2 2" xfId="21720"/>
    <cellStyle name="표준 2 2 5 2 7 3" xfId="8034"/>
    <cellStyle name="표준 2 2 5 2 7 3 2" xfId="19282"/>
    <cellStyle name="표준 2 2 5 2 7 4" xfId="5595"/>
    <cellStyle name="표준 2 2 5 2 7 4 2" xfId="16844"/>
    <cellStyle name="표준 2 2 5 2 7 5" xfId="2625"/>
    <cellStyle name="표준 2 2 5 2 7 5 2" xfId="13903"/>
    <cellStyle name="표준 2 2 5 2 7 6" xfId="12443"/>
    <cellStyle name="표준 2 2 5 2 8" xfId="5701"/>
    <cellStyle name="표준 2 2 5 2 8 2" xfId="10578"/>
    <cellStyle name="표준 2 2 5 2 8 2 2" xfId="21826"/>
    <cellStyle name="표준 2 2 5 2 8 3" xfId="8140"/>
    <cellStyle name="표준 2 2 5 2 8 3 2" xfId="19388"/>
    <cellStyle name="표준 2 2 5 2 8 4" xfId="16950"/>
    <cellStyle name="표준 2 2 5 2 9" xfId="5784"/>
    <cellStyle name="표준 2 2 5 2 9 2" xfId="10661"/>
    <cellStyle name="표준 2 2 5 2 9 2 2" xfId="21909"/>
    <cellStyle name="표준 2 2 5 2 9 3" xfId="8223"/>
    <cellStyle name="표준 2 2 5 2 9 3 2" xfId="19471"/>
    <cellStyle name="표준 2 2 5 2 9 4" xfId="17033"/>
    <cellStyle name="표준 2 2 5 3" xfId="160"/>
    <cellStyle name="표준 2 2 5 3 10" xfId="1835"/>
    <cellStyle name="표준 2 2 5 3 10 2" xfId="13262"/>
    <cellStyle name="표준 2 2 5 3 11" xfId="11802"/>
    <cellStyle name="표준 2 2 5 3 2" xfId="273"/>
    <cellStyle name="표준 2 2 5 3 2 2" xfId="557"/>
    <cellStyle name="표준 2 2 5 3 2 2 2" xfId="1645"/>
    <cellStyle name="표준 2 2 5 3 2 2 2 2" xfId="10207"/>
    <cellStyle name="표준 2 2 5 3 2 2 2 2 2" xfId="21455"/>
    <cellStyle name="표준 2 2 5 3 2 2 2 3" xfId="7769"/>
    <cellStyle name="표준 2 2 5 3 2 2 2 3 2" xfId="19017"/>
    <cellStyle name="표준 2 2 5 3 2 2 2 4" xfId="5330"/>
    <cellStyle name="표준 2 2 5 3 2 2 2 4 2" xfId="16579"/>
    <cellStyle name="표준 2 2 5 3 2 2 2 5" xfId="3257"/>
    <cellStyle name="표준 2 2 5 3 2 2 2 5 2" xfId="14535"/>
    <cellStyle name="표준 2 2 5 3 2 2 2 6" xfId="13075"/>
    <cellStyle name="표준 2 2 5 3 2 2 3" xfId="9217"/>
    <cellStyle name="표준 2 2 5 3 2 2 3 2" xfId="20465"/>
    <cellStyle name="표준 2 2 5 3 2 2 4" xfId="6779"/>
    <cellStyle name="표준 2 2 5 3 2 2 4 2" xfId="18027"/>
    <cellStyle name="표준 2 2 5 3 2 2 5" xfId="4338"/>
    <cellStyle name="표준 2 2 5 3 2 2 5 2" xfId="15589"/>
    <cellStyle name="표준 2 2 5 3 2 2 6" xfId="2229"/>
    <cellStyle name="표준 2 2 5 3 2 2 6 2" xfId="13656"/>
    <cellStyle name="표준 2 2 5 3 2 2 7" xfId="12196"/>
    <cellStyle name="표준 2 2 5 3 2 3" xfId="1260"/>
    <cellStyle name="표준 2 2 5 3 2 3 2" xfId="9754"/>
    <cellStyle name="표준 2 2 5 3 2 3 2 2" xfId="21002"/>
    <cellStyle name="표준 2 2 5 3 2 3 3" xfId="7316"/>
    <cellStyle name="표준 2 2 5 3 2 3 3 2" xfId="18564"/>
    <cellStyle name="표준 2 2 5 3 2 3 4" xfId="4877"/>
    <cellStyle name="표준 2 2 5 3 2 3 4 2" xfId="16126"/>
    <cellStyle name="표준 2 2 5 3 2 3 5" xfId="2881"/>
    <cellStyle name="표준 2 2 5 3 2 3 5 2" xfId="14159"/>
    <cellStyle name="표준 2 2 5 3 2 3 6" xfId="12699"/>
    <cellStyle name="표준 2 2 5 3 2 4" xfId="8764"/>
    <cellStyle name="표준 2 2 5 3 2 4 2" xfId="20012"/>
    <cellStyle name="표준 2 2 5 3 2 5" xfId="6326"/>
    <cellStyle name="표준 2 2 5 3 2 5 2" xfId="17574"/>
    <cellStyle name="표준 2 2 5 3 2 6" xfId="11020"/>
    <cellStyle name="표준 2 2 5 3 2 6 2" xfId="22267"/>
    <cellStyle name="표준 2 2 5 3 2 7" xfId="3885"/>
    <cellStyle name="표준 2 2 5 3 2 7 2" xfId="15136"/>
    <cellStyle name="표준 2 2 5 3 2 8" xfId="1945"/>
    <cellStyle name="표준 2 2 5 3 2 8 2" xfId="13372"/>
    <cellStyle name="표준 2 2 5 3 2 9" xfId="11912"/>
    <cellStyle name="표준 2 2 5 3 3" xfId="447"/>
    <cellStyle name="표준 2 2 5 3 3 2" xfId="1540"/>
    <cellStyle name="표준 2 2 5 3 3 2 2" xfId="9980"/>
    <cellStyle name="표준 2 2 5 3 3 2 2 2" xfId="21228"/>
    <cellStyle name="표준 2 2 5 3 3 2 3" xfId="7542"/>
    <cellStyle name="표준 2 2 5 3 3 2 3 2" xfId="18790"/>
    <cellStyle name="표준 2 2 5 3 3 2 4" xfId="5103"/>
    <cellStyle name="표준 2 2 5 3 3 2 4 2" xfId="16352"/>
    <cellStyle name="표준 2 2 5 3 3 2 5" xfId="3152"/>
    <cellStyle name="표준 2 2 5 3 3 2 5 2" xfId="14430"/>
    <cellStyle name="표준 2 2 5 3 3 2 6" xfId="12970"/>
    <cellStyle name="표준 2 2 5 3 3 3" xfId="8990"/>
    <cellStyle name="표준 2 2 5 3 3 3 2" xfId="20238"/>
    <cellStyle name="표준 2 2 5 3 3 4" xfId="6552"/>
    <cellStyle name="표준 2 2 5 3 3 4 2" xfId="17800"/>
    <cellStyle name="표준 2 2 5 3 3 5" xfId="4111"/>
    <cellStyle name="표준 2 2 5 3 3 5 2" xfId="15362"/>
    <cellStyle name="표준 2 2 5 3 3 6" xfId="2119"/>
    <cellStyle name="표준 2 2 5 3 3 6 2" xfId="13546"/>
    <cellStyle name="표준 2 2 5 3 3 7" xfId="12086"/>
    <cellStyle name="표준 2 2 5 3 4" xfId="763"/>
    <cellStyle name="표준 2 2 5 3 4 2" xfId="9528"/>
    <cellStyle name="표준 2 2 5 3 4 2 2" xfId="20776"/>
    <cellStyle name="표준 2 2 5 3 4 3" xfId="7090"/>
    <cellStyle name="표준 2 2 5 3 4 3 2" xfId="18338"/>
    <cellStyle name="표준 2 2 5 3 4 4" xfId="4651"/>
    <cellStyle name="표준 2 2 5 3 4 4 2" xfId="15900"/>
    <cellStyle name="표준 2 2 5 3 4 5" xfId="2390"/>
    <cellStyle name="표준 2 2 5 3 4 5 2" xfId="13785"/>
    <cellStyle name="표준 2 2 5 3 4 6" xfId="12325"/>
    <cellStyle name="표준 2 2 5 3 5" xfId="1150"/>
    <cellStyle name="표준 2 2 5 3 5 2" xfId="8567"/>
    <cellStyle name="표준 2 2 5 3 5 2 2" xfId="19815"/>
    <cellStyle name="표준 2 2 5 3 5 3" xfId="6129"/>
    <cellStyle name="표준 2 2 5 3 5 3 2" xfId="17377"/>
    <cellStyle name="표준 2 2 5 3 5 4" xfId="3688"/>
    <cellStyle name="표준 2 2 5 3 5 4 2" xfId="14939"/>
    <cellStyle name="표준 2 2 5 3 5 5" xfId="2771"/>
    <cellStyle name="표준 2 2 5 3 5 5 2" xfId="14049"/>
    <cellStyle name="표준 2 2 5 3 5 6" xfId="12589"/>
    <cellStyle name="표준 2 2 5 3 6" xfId="8389"/>
    <cellStyle name="표준 2 2 5 3 6 2" xfId="19637"/>
    <cellStyle name="표준 2 2 5 3 7" xfId="5951"/>
    <cellStyle name="표준 2 2 5 3 7 2" xfId="17199"/>
    <cellStyle name="표준 2 2 5 3 8" xfId="10835"/>
    <cellStyle name="표준 2 2 5 3 8 2" xfId="22083"/>
    <cellStyle name="표준 2 2 5 3 9" xfId="3489"/>
    <cellStyle name="표준 2 2 5 3 9 2" xfId="14761"/>
    <cellStyle name="표준 2 2 5 4" xfId="225"/>
    <cellStyle name="표준 2 2 5 4 10" xfId="11864"/>
    <cellStyle name="표준 2 2 5 4 2" xfId="509"/>
    <cellStyle name="표준 2 2 5 4 2 2" xfId="1597"/>
    <cellStyle name="표준 2 2 5 4 2 2 2" xfId="5416"/>
    <cellStyle name="표준 2 2 5 4 2 2 2 2" xfId="10293"/>
    <cellStyle name="표준 2 2 5 4 2 2 2 2 2" xfId="21541"/>
    <cellStyle name="표준 2 2 5 4 2 2 2 3" xfId="7855"/>
    <cellStyle name="표준 2 2 5 4 2 2 2 3 2" xfId="19103"/>
    <cellStyle name="표준 2 2 5 4 2 2 2 4" xfId="16665"/>
    <cellStyle name="표준 2 2 5 4 2 2 3" xfId="9303"/>
    <cellStyle name="표준 2 2 5 4 2 2 3 2" xfId="20551"/>
    <cellStyle name="표준 2 2 5 4 2 2 4" xfId="6865"/>
    <cellStyle name="표준 2 2 5 4 2 2 4 2" xfId="18113"/>
    <cellStyle name="표준 2 2 5 4 2 2 5" xfId="4424"/>
    <cellStyle name="표준 2 2 5 4 2 2 5 2" xfId="15675"/>
    <cellStyle name="표준 2 2 5 4 2 2 6" xfId="3209"/>
    <cellStyle name="표준 2 2 5 4 2 2 6 2" xfId="14487"/>
    <cellStyle name="표준 2 2 5 4 2 2 7" xfId="13027"/>
    <cellStyle name="표준 2 2 5 4 2 3" xfId="4963"/>
    <cellStyle name="표준 2 2 5 4 2 3 2" xfId="9840"/>
    <cellStyle name="표준 2 2 5 4 2 3 2 2" xfId="21088"/>
    <cellStyle name="표준 2 2 5 4 2 3 3" xfId="7402"/>
    <cellStyle name="표준 2 2 5 4 2 3 3 2" xfId="18650"/>
    <cellStyle name="표준 2 2 5 4 2 3 4" xfId="16212"/>
    <cellStyle name="표준 2 2 5 4 2 4" xfId="8850"/>
    <cellStyle name="표준 2 2 5 4 2 4 2" xfId="20098"/>
    <cellStyle name="표준 2 2 5 4 2 5" xfId="6412"/>
    <cellStyle name="표준 2 2 5 4 2 5 2" xfId="17660"/>
    <cellStyle name="표준 2 2 5 4 2 6" xfId="3971"/>
    <cellStyle name="표준 2 2 5 4 2 6 2" xfId="15222"/>
    <cellStyle name="표준 2 2 5 4 2 7" xfId="2181"/>
    <cellStyle name="표준 2 2 5 4 2 7 2" xfId="13608"/>
    <cellStyle name="표준 2 2 5 4 2 8" xfId="12148"/>
    <cellStyle name="표준 2 2 5 4 3" xfId="1212"/>
    <cellStyle name="표준 2 2 5 4 3 2" xfId="5189"/>
    <cellStyle name="표준 2 2 5 4 3 2 2" xfId="10066"/>
    <cellStyle name="표준 2 2 5 4 3 2 2 2" xfId="21314"/>
    <cellStyle name="표준 2 2 5 4 3 2 3" xfId="7628"/>
    <cellStyle name="표준 2 2 5 4 3 2 3 2" xfId="18876"/>
    <cellStyle name="표준 2 2 5 4 3 2 4" xfId="16438"/>
    <cellStyle name="표준 2 2 5 4 3 3" xfId="9076"/>
    <cellStyle name="표준 2 2 5 4 3 3 2" xfId="20324"/>
    <cellStyle name="표준 2 2 5 4 3 4" xfId="6638"/>
    <cellStyle name="표준 2 2 5 4 3 4 2" xfId="17886"/>
    <cellStyle name="표준 2 2 5 4 3 5" xfId="4197"/>
    <cellStyle name="표준 2 2 5 4 3 5 2" xfId="15448"/>
    <cellStyle name="표준 2 2 5 4 3 6" xfId="2833"/>
    <cellStyle name="표준 2 2 5 4 3 6 2" xfId="14111"/>
    <cellStyle name="표준 2 2 5 4 3 7" xfId="12651"/>
    <cellStyle name="표준 2 2 5 4 4" xfId="4737"/>
    <cellStyle name="표준 2 2 5 4 4 2" xfId="9614"/>
    <cellStyle name="표준 2 2 5 4 4 2 2" xfId="20862"/>
    <cellStyle name="표준 2 2 5 4 4 3" xfId="7176"/>
    <cellStyle name="표준 2 2 5 4 4 3 2" xfId="18424"/>
    <cellStyle name="표준 2 2 5 4 4 4" xfId="15986"/>
    <cellStyle name="표준 2 2 5 4 5" xfId="8624"/>
    <cellStyle name="표준 2 2 5 4 5 2" xfId="19872"/>
    <cellStyle name="표준 2 2 5 4 6" xfId="6186"/>
    <cellStyle name="표준 2 2 5 4 6 2" xfId="17434"/>
    <cellStyle name="표준 2 2 5 4 7" xfId="10937"/>
    <cellStyle name="표준 2 2 5 4 7 2" xfId="22184"/>
    <cellStyle name="표준 2 2 5 4 8" xfId="3745"/>
    <cellStyle name="표준 2 2 5 4 8 2" xfId="14996"/>
    <cellStyle name="표준 2 2 5 4 9" xfId="1897"/>
    <cellStyle name="표준 2 2 5 4 9 2" xfId="13324"/>
    <cellStyle name="표준 2 2 5 5" xfId="399"/>
    <cellStyle name="표준 2 2 5 5 2" xfId="1497"/>
    <cellStyle name="표준 2 2 5 5 2 2" xfId="5282"/>
    <cellStyle name="표준 2 2 5 5 2 2 2" xfId="10159"/>
    <cellStyle name="표준 2 2 5 5 2 2 2 2" xfId="21407"/>
    <cellStyle name="표준 2 2 5 5 2 2 3" xfId="7721"/>
    <cellStyle name="표준 2 2 5 5 2 2 3 2" xfId="18969"/>
    <cellStyle name="표준 2 2 5 5 2 2 4" xfId="16531"/>
    <cellStyle name="표준 2 2 5 5 2 3" xfId="9169"/>
    <cellStyle name="표준 2 2 5 5 2 3 2" xfId="20417"/>
    <cellStyle name="표준 2 2 5 5 2 4" xfId="6731"/>
    <cellStyle name="표준 2 2 5 5 2 4 2" xfId="17979"/>
    <cellStyle name="표준 2 2 5 5 2 5" xfId="4290"/>
    <cellStyle name="표준 2 2 5 5 2 5 2" xfId="15541"/>
    <cellStyle name="표준 2 2 5 5 2 6" xfId="3109"/>
    <cellStyle name="표준 2 2 5 5 2 6 2" xfId="14387"/>
    <cellStyle name="표준 2 2 5 5 2 7" xfId="12927"/>
    <cellStyle name="표준 2 2 5 5 3" xfId="1102"/>
    <cellStyle name="표준 2 2 5 5 3 2" xfId="9706"/>
    <cellStyle name="표준 2 2 5 5 3 2 2" xfId="20954"/>
    <cellStyle name="표준 2 2 5 5 3 3" xfId="7268"/>
    <cellStyle name="표준 2 2 5 5 3 3 2" xfId="18516"/>
    <cellStyle name="표준 2 2 5 5 3 4" xfId="4829"/>
    <cellStyle name="표준 2 2 5 5 3 4 2" xfId="16078"/>
    <cellStyle name="표준 2 2 5 5 3 5" xfId="2723"/>
    <cellStyle name="표준 2 2 5 5 3 5 2" xfId="14001"/>
    <cellStyle name="표준 2 2 5 5 3 6" xfId="12541"/>
    <cellStyle name="표준 2 2 5 5 4" xfId="8716"/>
    <cellStyle name="표준 2 2 5 5 4 2" xfId="19964"/>
    <cellStyle name="표준 2 2 5 5 5" xfId="6278"/>
    <cellStyle name="표준 2 2 5 5 5 2" xfId="17526"/>
    <cellStyle name="표준 2 2 5 5 6" xfId="3837"/>
    <cellStyle name="표준 2 2 5 5 6 2" xfId="15088"/>
    <cellStyle name="표준 2 2 5 5 7" xfId="2071"/>
    <cellStyle name="표준 2 2 5 5 7 2" xfId="13498"/>
    <cellStyle name="표준 2 2 5 5 8" xfId="12038"/>
    <cellStyle name="표준 2 2 5 6" xfId="337"/>
    <cellStyle name="표준 2 2 5 6 2" xfId="1708"/>
    <cellStyle name="표준 2 2 5 6 2 2" xfId="9932"/>
    <cellStyle name="표준 2 2 5 6 2 2 2" xfId="21180"/>
    <cellStyle name="표준 2 2 5 6 2 3" xfId="7494"/>
    <cellStyle name="표준 2 2 5 6 2 3 2" xfId="18742"/>
    <cellStyle name="표준 2 2 5 6 2 4" xfId="5055"/>
    <cellStyle name="표준 2 2 5 6 2 4 2" xfId="16304"/>
    <cellStyle name="표준 2 2 5 6 2 5" xfId="3320"/>
    <cellStyle name="표준 2 2 5 6 2 5 2" xfId="14598"/>
    <cellStyle name="표준 2 2 5 6 2 6" xfId="13138"/>
    <cellStyle name="표준 2 2 5 6 3" xfId="1326"/>
    <cellStyle name="표준 2 2 5 6 3 2" xfId="8942"/>
    <cellStyle name="표준 2 2 5 6 3 2 2" xfId="20190"/>
    <cellStyle name="표준 2 2 5 6 3 3" xfId="2947"/>
    <cellStyle name="표준 2 2 5 6 3 3 2" xfId="14225"/>
    <cellStyle name="표준 2 2 5 6 3 4" xfId="12765"/>
    <cellStyle name="표준 2 2 5 6 4" xfId="6504"/>
    <cellStyle name="표준 2 2 5 6 4 2" xfId="17752"/>
    <cellStyle name="표준 2 2 5 6 5" xfId="4063"/>
    <cellStyle name="표준 2 2 5 6 5 2" xfId="15314"/>
    <cellStyle name="표준 2 2 5 6 6" xfId="2009"/>
    <cellStyle name="표준 2 2 5 6 6 2" xfId="13436"/>
    <cellStyle name="표준 2 2 5 6 7" xfId="11976"/>
    <cellStyle name="표준 2 2 5 7" xfId="636"/>
    <cellStyle name="표준 2 2 5 7 2" xfId="1416"/>
    <cellStyle name="표준 2 2 5 7 2 2" xfId="10387"/>
    <cellStyle name="표준 2 2 5 7 2 2 2" xfId="21635"/>
    <cellStyle name="표준 2 2 5 7 2 3" xfId="7949"/>
    <cellStyle name="표준 2 2 5 7 2 3 2" xfId="19197"/>
    <cellStyle name="표준 2 2 5 7 2 4" xfId="5510"/>
    <cellStyle name="표준 2 2 5 7 2 4 2" xfId="16759"/>
    <cellStyle name="표준 2 2 5 7 2 5" xfId="3030"/>
    <cellStyle name="표준 2 2 5 7 2 5 2" xfId="14308"/>
    <cellStyle name="표준 2 2 5 7 2 6" xfId="12848"/>
    <cellStyle name="표준 2 2 5 7 3" xfId="9397"/>
    <cellStyle name="표준 2 2 5 7 3 2" xfId="20645"/>
    <cellStyle name="표준 2 2 5 7 4" xfId="6959"/>
    <cellStyle name="표준 2 2 5 7 4 2" xfId="18207"/>
    <cellStyle name="표준 2 2 5 7 5" xfId="4520"/>
    <cellStyle name="표준 2 2 5 7 5 2" xfId="15769"/>
    <cellStyle name="표준 2 2 5 7 6" xfId="2307"/>
    <cellStyle name="표준 2 2 5 7 6 2" xfId="13722"/>
    <cellStyle name="표준 2 2 5 7 7" xfId="12262"/>
    <cellStyle name="표준 2 2 5 8" xfId="1040"/>
    <cellStyle name="표준 2 2 5 8 2" xfId="9480"/>
    <cellStyle name="표준 2 2 5 8 2 2" xfId="20728"/>
    <cellStyle name="표준 2 2 5 8 3" xfId="7042"/>
    <cellStyle name="표준 2 2 5 8 3 2" xfId="18290"/>
    <cellStyle name="표준 2 2 5 8 4" xfId="4603"/>
    <cellStyle name="표준 2 2 5 8 4 2" xfId="15852"/>
    <cellStyle name="표준 2 2 5 8 5" xfId="2661"/>
    <cellStyle name="표준 2 2 5 8 5 2" xfId="13939"/>
    <cellStyle name="표준 2 2 5 8 6" xfId="12479"/>
    <cellStyle name="표준 2 2 5 9" xfId="977"/>
    <cellStyle name="표준 2 2 5 9 2" xfId="10471"/>
    <cellStyle name="표준 2 2 5 9 2 2" xfId="21719"/>
    <cellStyle name="표준 2 2 5 9 3" xfId="8033"/>
    <cellStyle name="표준 2 2 5 9 3 2" xfId="19281"/>
    <cellStyle name="표준 2 2 5 9 4" xfId="5594"/>
    <cellStyle name="표준 2 2 5 9 4 2" xfId="16843"/>
    <cellStyle name="표준 2 2 5 9 5" xfId="2598"/>
    <cellStyle name="표준 2 2 5 9 5 2" xfId="13876"/>
    <cellStyle name="표준 2 2 5 9 6" xfId="12416"/>
    <cellStyle name="표준 2 2 6" xfId="88"/>
    <cellStyle name="표준 2 2 6 10" xfId="5702"/>
    <cellStyle name="표준 2 2 6 10 2" xfId="10579"/>
    <cellStyle name="표준 2 2 6 10 2 2" xfId="21827"/>
    <cellStyle name="표준 2 2 6 10 3" xfId="8141"/>
    <cellStyle name="표준 2 2 6 10 3 2" xfId="19389"/>
    <cellStyle name="표준 2 2 6 10 4" xfId="16951"/>
    <cellStyle name="표준 2 2 6 11" xfId="5785"/>
    <cellStyle name="표준 2 2 6 11 2" xfId="10662"/>
    <cellStyle name="표준 2 2 6 11 2 2" xfId="21910"/>
    <cellStyle name="표준 2 2 6 11 3" xfId="8224"/>
    <cellStyle name="표준 2 2 6 11 3 2" xfId="19472"/>
    <cellStyle name="표준 2 2 6 11 4" xfId="17034"/>
    <cellStyle name="표준 2 2 6 12" xfId="3588"/>
    <cellStyle name="표준 2 2 6 12 2" xfId="8487"/>
    <cellStyle name="표준 2 2 6 12 2 2" xfId="19735"/>
    <cellStyle name="표준 2 2 6 12 3" xfId="6049"/>
    <cellStyle name="표준 2 2 6 12 3 2" xfId="17297"/>
    <cellStyle name="표준 2 2 6 12 4" xfId="14859"/>
    <cellStyle name="표준 2 2 6 13" xfId="8308"/>
    <cellStyle name="표준 2 2 6 13 2" xfId="19556"/>
    <cellStyle name="표준 2 2 6 14" xfId="5870"/>
    <cellStyle name="표준 2 2 6 14 2" xfId="17118"/>
    <cellStyle name="표준 2 2 6 15" xfId="10754"/>
    <cellStyle name="표준 2 2 6 15 2" xfId="22002"/>
    <cellStyle name="표준 2 2 6 16" xfId="3402"/>
    <cellStyle name="표준 2 2 6 16 2" xfId="14680"/>
    <cellStyle name="표준 2 2 6 17" xfId="1804"/>
    <cellStyle name="표준 2 2 6 17 2" xfId="13233"/>
    <cellStyle name="표준 2 2 6 18" xfId="11773"/>
    <cellStyle name="표준 2 2 6 2" xfId="193"/>
    <cellStyle name="표준 2 2 6 2 10" xfId="3589"/>
    <cellStyle name="표준 2 2 6 2 10 2" xfId="8488"/>
    <cellStyle name="표준 2 2 6 2 10 2 2" xfId="19736"/>
    <cellStyle name="표준 2 2 6 2 10 3" xfId="6050"/>
    <cellStyle name="표준 2 2 6 2 10 3 2" xfId="17298"/>
    <cellStyle name="표준 2 2 6 2 10 4" xfId="14860"/>
    <cellStyle name="표준 2 2 6 2 11" xfId="8309"/>
    <cellStyle name="표준 2 2 6 2 11 2" xfId="19557"/>
    <cellStyle name="표준 2 2 6 2 12" xfId="5871"/>
    <cellStyle name="표준 2 2 6 2 12 2" xfId="17119"/>
    <cellStyle name="표준 2 2 6 2 13" xfId="10755"/>
    <cellStyle name="표준 2 2 6 2 13 2" xfId="22003"/>
    <cellStyle name="표준 2 2 6 2 14" xfId="3403"/>
    <cellStyle name="표준 2 2 6 2 14 2" xfId="14681"/>
    <cellStyle name="표준 2 2 6 2 15" xfId="1866"/>
    <cellStyle name="표준 2 2 6 2 15 2" xfId="13293"/>
    <cellStyle name="표준 2 2 6 2 16" xfId="11833"/>
    <cellStyle name="표준 2 2 6 2 2" xfId="304"/>
    <cellStyle name="표준 2 2 6 2 2 10" xfId="1976"/>
    <cellStyle name="표준 2 2 6 2 2 10 2" xfId="13403"/>
    <cellStyle name="표준 2 2 6 2 2 11" xfId="11943"/>
    <cellStyle name="표준 2 2 6 2 2 2" xfId="588"/>
    <cellStyle name="표준 2 2 6 2 2 2 2" xfId="1676"/>
    <cellStyle name="표준 2 2 6 2 2 2 2 2" xfId="5419"/>
    <cellStyle name="표준 2 2 6 2 2 2 2 2 2" xfId="10296"/>
    <cellStyle name="표준 2 2 6 2 2 2 2 2 2 2" xfId="21544"/>
    <cellStyle name="표준 2 2 6 2 2 2 2 2 3" xfId="7858"/>
    <cellStyle name="표준 2 2 6 2 2 2 2 2 3 2" xfId="19106"/>
    <cellStyle name="표준 2 2 6 2 2 2 2 2 4" xfId="16668"/>
    <cellStyle name="표준 2 2 6 2 2 2 2 3" xfId="9306"/>
    <cellStyle name="표준 2 2 6 2 2 2 2 3 2" xfId="20554"/>
    <cellStyle name="표준 2 2 6 2 2 2 2 4" xfId="6868"/>
    <cellStyle name="표준 2 2 6 2 2 2 2 4 2" xfId="18116"/>
    <cellStyle name="표준 2 2 6 2 2 2 2 5" xfId="4427"/>
    <cellStyle name="표준 2 2 6 2 2 2 2 5 2" xfId="15678"/>
    <cellStyle name="표준 2 2 6 2 2 2 2 6" xfId="3288"/>
    <cellStyle name="표준 2 2 6 2 2 2 2 6 2" xfId="14566"/>
    <cellStyle name="표준 2 2 6 2 2 2 2 7" xfId="13106"/>
    <cellStyle name="표준 2 2 6 2 2 2 3" xfId="4966"/>
    <cellStyle name="표준 2 2 6 2 2 2 3 2" xfId="9843"/>
    <cellStyle name="표준 2 2 6 2 2 2 3 2 2" xfId="21091"/>
    <cellStyle name="표준 2 2 6 2 2 2 3 3" xfId="7405"/>
    <cellStyle name="표준 2 2 6 2 2 2 3 3 2" xfId="18653"/>
    <cellStyle name="표준 2 2 6 2 2 2 3 4" xfId="16215"/>
    <cellStyle name="표준 2 2 6 2 2 2 4" xfId="8853"/>
    <cellStyle name="표준 2 2 6 2 2 2 4 2" xfId="20101"/>
    <cellStyle name="표준 2 2 6 2 2 2 5" xfId="6415"/>
    <cellStyle name="표준 2 2 6 2 2 2 5 2" xfId="17663"/>
    <cellStyle name="표준 2 2 6 2 2 2 6" xfId="11023"/>
    <cellStyle name="표준 2 2 6 2 2 2 6 2" xfId="22270"/>
    <cellStyle name="표준 2 2 6 2 2 2 7" xfId="3974"/>
    <cellStyle name="표준 2 2 6 2 2 2 7 2" xfId="15225"/>
    <cellStyle name="표준 2 2 6 2 2 2 8" xfId="2260"/>
    <cellStyle name="표준 2 2 6 2 2 2 8 2" xfId="13687"/>
    <cellStyle name="표준 2 2 6 2 2 2 9" xfId="12227"/>
    <cellStyle name="표준 2 2 6 2 2 3" xfId="766"/>
    <cellStyle name="표준 2 2 6 2 2 3 2" xfId="5192"/>
    <cellStyle name="표준 2 2 6 2 2 3 2 2" xfId="10069"/>
    <cellStyle name="표준 2 2 6 2 2 3 2 2 2" xfId="21317"/>
    <cellStyle name="표준 2 2 6 2 2 3 2 3" xfId="7631"/>
    <cellStyle name="표준 2 2 6 2 2 3 2 3 2" xfId="18879"/>
    <cellStyle name="표준 2 2 6 2 2 3 2 4" xfId="16441"/>
    <cellStyle name="표준 2 2 6 2 2 3 3" xfId="9079"/>
    <cellStyle name="표준 2 2 6 2 2 3 3 2" xfId="20327"/>
    <cellStyle name="표준 2 2 6 2 2 3 4" xfId="6641"/>
    <cellStyle name="표준 2 2 6 2 2 3 4 2" xfId="17889"/>
    <cellStyle name="표준 2 2 6 2 2 3 5" xfId="4200"/>
    <cellStyle name="표준 2 2 6 2 2 3 5 2" xfId="15451"/>
    <cellStyle name="표준 2 2 6 2 2 3 6" xfId="2393"/>
    <cellStyle name="표준 2 2 6 2 2 3 6 2" xfId="13788"/>
    <cellStyle name="표준 2 2 6 2 2 3 7" xfId="12328"/>
    <cellStyle name="표준 2 2 6 2 2 4" xfId="1291"/>
    <cellStyle name="표준 2 2 6 2 2 4 2" xfId="9617"/>
    <cellStyle name="표준 2 2 6 2 2 4 2 2" xfId="20865"/>
    <cellStyle name="표준 2 2 6 2 2 4 3" xfId="7179"/>
    <cellStyle name="표준 2 2 6 2 2 4 3 2" xfId="18427"/>
    <cellStyle name="표준 2 2 6 2 2 4 4" xfId="4740"/>
    <cellStyle name="표준 2 2 6 2 2 4 4 2" xfId="15989"/>
    <cellStyle name="표준 2 2 6 2 2 4 5" xfId="2912"/>
    <cellStyle name="표준 2 2 6 2 2 4 5 2" xfId="14190"/>
    <cellStyle name="표준 2 2 6 2 2 4 6" xfId="12730"/>
    <cellStyle name="표준 2 2 6 2 2 5" xfId="3748"/>
    <cellStyle name="표준 2 2 6 2 2 5 2" xfId="8627"/>
    <cellStyle name="표준 2 2 6 2 2 5 2 2" xfId="19875"/>
    <cellStyle name="표준 2 2 6 2 2 5 3" xfId="6189"/>
    <cellStyle name="표준 2 2 6 2 2 5 3 2" xfId="17437"/>
    <cellStyle name="표준 2 2 6 2 2 5 4" xfId="14999"/>
    <cellStyle name="표준 2 2 6 2 2 6" xfId="8392"/>
    <cellStyle name="표준 2 2 6 2 2 6 2" xfId="19640"/>
    <cellStyle name="표준 2 2 6 2 2 7" xfId="5954"/>
    <cellStyle name="표준 2 2 6 2 2 7 2" xfId="17202"/>
    <cellStyle name="표준 2 2 6 2 2 8" xfId="10838"/>
    <cellStyle name="표준 2 2 6 2 2 8 2" xfId="22086"/>
    <cellStyle name="표준 2 2 6 2 2 9" xfId="3492"/>
    <cellStyle name="표준 2 2 6 2 2 9 2" xfId="14764"/>
    <cellStyle name="표준 2 2 6 2 3" xfId="478"/>
    <cellStyle name="표준 2 2 6 2 3 2" xfId="1571"/>
    <cellStyle name="표준 2 2 6 2 3 2 2" xfId="5333"/>
    <cellStyle name="표준 2 2 6 2 3 2 2 2" xfId="10210"/>
    <cellStyle name="표준 2 2 6 2 3 2 2 2 2" xfId="21458"/>
    <cellStyle name="표준 2 2 6 2 3 2 2 3" xfId="7772"/>
    <cellStyle name="표준 2 2 6 2 3 2 2 3 2" xfId="19020"/>
    <cellStyle name="표준 2 2 6 2 3 2 2 4" xfId="16582"/>
    <cellStyle name="표준 2 2 6 2 3 2 3" xfId="9220"/>
    <cellStyle name="표준 2 2 6 2 3 2 3 2" xfId="20468"/>
    <cellStyle name="표준 2 2 6 2 3 2 4" xfId="6782"/>
    <cellStyle name="표준 2 2 6 2 3 2 4 2" xfId="18030"/>
    <cellStyle name="표준 2 2 6 2 3 2 5" xfId="4341"/>
    <cellStyle name="표준 2 2 6 2 3 2 5 2" xfId="15592"/>
    <cellStyle name="표준 2 2 6 2 3 2 6" xfId="3183"/>
    <cellStyle name="표준 2 2 6 2 3 2 6 2" xfId="14461"/>
    <cellStyle name="표준 2 2 6 2 3 2 7" xfId="13001"/>
    <cellStyle name="표준 2 2 6 2 3 3" xfId="1181"/>
    <cellStyle name="표준 2 2 6 2 3 3 2" xfId="9757"/>
    <cellStyle name="표준 2 2 6 2 3 3 2 2" xfId="21005"/>
    <cellStyle name="표준 2 2 6 2 3 3 3" xfId="7319"/>
    <cellStyle name="표준 2 2 6 2 3 3 3 2" xfId="18567"/>
    <cellStyle name="표준 2 2 6 2 3 3 4" xfId="4880"/>
    <cellStyle name="표준 2 2 6 2 3 3 4 2" xfId="16129"/>
    <cellStyle name="표준 2 2 6 2 3 3 5" xfId="2802"/>
    <cellStyle name="표준 2 2 6 2 3 3 5 2" xfId="14080"/>
    <cellStyle name="표준 2 2 6 2 3 3 6" xfId="12620"/>
    <cellStyle name="표준 2 2 6 2 3 4" xfId="8767"/>
    <cellStyle name="표준 2 2 6 2 3 4 2" xfId="20015"/>
    <cellStyle name="표준 2 2 6 2 3 5" xfId="6329"/>
    <cellStyle name="표준 2 2 6 2 3 5 2" xfId="17577"/>
    <cellStyle name="표준 2 2 6 2 3 6" xfId="10940"/>
    <cellStyle name="표준 2 2 6 2 3 6 2" xfId="22187"/>
    <cellStyle name="표준 2 2 6 2 3 7" xfId="3888"/>
    <cellStyle name="표준 2 2 6 2 3 7 2" xfId="15139"/>
    <cellStyle name="표준 2 2 6 2 3 8" xfId="2150"/>
    <cellStyle name="표준 2 2 6 2 3 8 2" xfId="13577"/>
    <cellStyle name="표준 2 2 6 2 3 9" xfId="12117"/>
    <cellStyle name="표준 2 2 6 2 4" xfId="368"/>
    <cellStyle name="표준 2 2 6 2 4 2" xfId="1711"/>
    <cellStyle name="표준 2 2 6 2 4 2 2" xfId="9983"/>
    <cellStyle name="표준 2 2 6 2 4 2 2 2" xfId="21231"/>
    <cellStyle name="표준 2 2 6 2 4 2 3" xfId="7545"/>
    <cellStyle name="표준 2 2 6 2 4 2 3 2" xfId="18793"/>
    <cellStyle name="표준 2 2 6 2 4 2 4" xfId="5106"/>
    <cellStyle name="표준 2 2 6 2 4 2 4 2" xfId="16355"/>
    <cellStyle name="표준 2 2 6 2 4 2 5" xfId="3323"/>
    <cellStyle name="표준 2 2 6 2 4 2 5 2" xfId="14601"/>
    <cellStyle name="표준 2 2 6 2 4 2 6" xfId="13141"/>
    <cellStyle name="표준 2 2 6 2 4 3" xfId="1329"/>
    <cellStyle name="표준 2 2 6 2 4 3 2" xfId="8993"/>
    <cellStyle name="표준 2 2 6 2 4 3 2 2" xfId="20241"/>
    <cellStyle name="표준 2 2 6 2 4 3 3" xfId="2950"/>
    <cellStyle name="표준 2 2 6 2 4 3 3 2" xfId="14228"/>
    <cellStyle name="표준 2 2 6 2 4 3 4" xfId="12768"/>
    <cellStyle name="표준 2 2 6 2 4 4" xfId="6555"/>
    <cellStyle name="표준 2 2 6 2 4 4 2" xfId="17803"/>
    <cellStyle name="표준 2 2 6 2 4 5" xfId="4114"/>
    <cellStyle name="표준 2 2 6 2 4 5 2" xfId="15365"/>
    <cellStyle name="표준 2 2 6 2 4 6" xfId="2040"/>
    <cellStyle name="표준 2 2 6 2 4 6 2" xfId="13467"/>
    <cellStyle name="표준 2 2 6 2 4 7" xfId="12007"/>
    <cellStyle name="표준 2 2 6 2 5" xfId="712"/>
    <cellStyle name="표준 2 2 6 2 5 2" xfId="1419"/>
    <cellStyle name="표준 2 2 6 2 5 2 2" xfId="10390"/>
    <cellStyle name="표준 2 2 6 2 5 2 2 2" xfId="21638"/>
    <cellStyle name="표준 2 2 6 2 5 2 3" xfId="7952"/>
    <cellStyle name="표준 2 2 6 2 5 2 3 2" xfId="19200"/>
    <cellStyle name="표준 2 2 6 2 5 2 4" xfId="5513"/>
    <cellStyle name="표준 2 2 6 2 5 2 4 2" xfId="16762"/>
    <cellStyle name="표준 2 2 6 2 5 2 5" xfId="3033"/>
    <cellStyle name="표준 2 2 6 2 5 2 5 2" xfId="14311"/>
    <cellStyle name="표준 2 2 6 2 5 2 6" xfId="12851"/>
    <cellStyle name="표준 2 2 6 2 5 3" xfId="9400"/>
    <cellStyle name="표준 2 2 6 2 5 3 2" xfId="20648"/>
    <cellStyle name="표준 2 2 6 2 5 4" xfId="6962"/>
    <cellStyle name="표준 2 2 6 2 5 4 2" xfId="18210"/>
    <cellStyle name="표준 2 2 6 2 5 5" xfId="4523"/>
    <cellStyle name="표준 2 2 6 2 5 5 2" xfId="15772"/>
    <cellStyle name="표준 2 2 6 2 5 6" xfId="2344"/>
    <cellStyle name="표준 2 2 6 2 5 6 2" xfId="13757"/>
    <cellStyle name="표준 2 2 6 2 5 7" xfId="12297"/>
    <cellStyle name="표준 2 2 6 2 6" xfId="1071"/>
    <cellStyle name="표준 2 2 6 2 6 2" xfId="9531"/>
    <cellStyle name="표준 2 2 6 2 6 2 2" xfId="20779"/>
    <cellStyle name="표준 2 2 6 2 6 3" xfId="7093"/>
    <cellStyle name="표준 2 2 6 2 6 3 2" xfId="18341"/>
    <cellStyle name="표준 2 2 6 2 6 4" xfId="4654"/>
    <cellStyle name="표준 2 2 6 2 6 4 2" xfId="15903"/>
    <cellStyle name="표준 2 2 6 2 6 5" xfId="2692"/>
    <cellStyle name="표준 2 2 6 2 6 5 2" xfId="13970"/>
    <cellStyle name="표준 2 2 6 2 6 6" xfId="12510"/>
    <cellStyle name="표준 2 2 6 2 7" xfId="1007"/>
    <cellStyle name="표준 2 2 6 2 7 2" xfId="10474"/>
    <cellStyle name="표준 2 2 6 2 7 2 2" xfId="21722"/>
    <cellStyle name="표준 2 2 6 2 7 3" xfId="8036"/>
    <cellStyle name="표준 2 2 6 2 7 3 2" xfId="19284"/>
    <cellStyle name="표준 2 2 6 2 7 4" xfId="5597"/>
    <cellStyle name="표준 2 2 6 2 7 4 2" xfId="16846"/>
    <cellStyle name="표준 2 2 6 2 7 5" xfId="2628"/>
    <cellStyle name="표준 2 2 6 2 7 5 2" xfId="13906"/>
    <cellStyle name="표준 2 2 6 2 7 6" xfId="12446"/>
    <cellStyle name="표준 2 2 6 2 8" xfId="5703"/>
    <cellStyle name="표준 2 2 6 2 8 2" xfId="10580"/>
    <cellStyle name="표준 2 2 6 2 8 2 2" xfId="21828"/>
    <cellStyle name="표준 2 2 6 2 8 3" xfId="8142"/>
    <cellStyle name="표준 2 2 6 2 8 3 2" xfId="19390"/>
    <cellStyle name="표준 2 2 6 2 8 4" xfId="16952"/>
    <cellStyle name="표준 2 2 6 2 9" xfId="5786"/>
    <cellStyle name="표준 2 2 6 2 9 2" xfId="10663"/>
    <cellStyle name="표준 2 2 6 2 9 2 2" xfId="21911"/>
    <cellStyle name="표준 2 2 6 2 9 3" xfId="8225"/>
    <cellStyle name="표준 2 2 6 2 9 3 2" xfId="19473"/>
    <cellStyle name="표준 2 2 6 2 9 4" xfId="17035"/>
    <cellStyle name="표준 2 2 6 3" xfId="164"/>
    <cellStyle name="표준 2 2 6 3 10" xfId="1838"/>
    <cellStyle name="표준 2 2 6 3 10 2" xfId="13265"/>
    <cellStyle name="표준 2 2 6 3 11" xfId="11805"/>
    <cellStyle name="표준 2 2 6 3 2" xfId="276"/>
    <cellStyle name="표준 2 2 6 3 2 2" xfId="560"/>
    <cellStyle name="표준 2 2 6 3 2 2 2" xfId="1648"/>
    <cellStyle name="표준 2 2 6 3 2 2 2 2" xfId="10209"/>
    <cellStyle name="표준 2 2 6 3 2 2 2 2 2" xfId="21457"/>
    <cellStyle name="표준 2 2 6 3 2 2 2 3" xfId="7771"/>
    <cellStyle name="표준 2 2 6 3 2 2 2 3 2" xfId="19019"/>
    <cellStyle name="표준 2 2 6 3 2 2 2 4" xfId="5332"/>
    <cellStyle name="표준 2 2 6 3 2 2 2 4 2" xfId="16581"/>
    <cellStyle name="표준 2 2 6 3 2 2 2 5" xfId="3260"/>
    <cellStyle name="표준 2 2 6 3 2 2 2 5 2" xfId="14538"/>
    <cellStyle name="표준 2 2 6 3 2 2 2 6" xfId="13078"/>
    <cellStyle name="표준 2 2 6 3 2 2 3" xfId="9219"/>
    <cellStyle name="표준 2 2 6 3 2 2 3 2" xfId="20467"/>
    <cellStyle name="표준 2 2 6 3 2 2 4" xfId="6781"/>
    <cellStyle name="표준 2 2 6 3 2 2 4 2" xfId="18029"/>
    <cellStyle name="표준 2 2 6 3 2 2 5" xfId="4340"/>
    <cellStyle name="표준 2 2 6 3 2 2 5 2" xfId="15591"/>
    <cellStyle name="표준 2 2 6 3 2 2 6" xfId="2232"/>
    <cellStyle name="표준 2 2 6 3 2 2 6 2" xfId="13659"/>
    <cellStyle name="표준 2 2 6 3 2 2 7" xfId="12199"/>
    <cellStyle name="표준 2 2 6 3 2 3" xfId="1263"/>
    <cellStyle name="표준 2 2 6 3 2 3 2" xfId="9756"/>
    <cellStyle name="표준 2 2 6 3 2 3 2 2" xfId="21004"/>
    <cellStyle name="표준 2 2 6 3 2 3 3" xfId="7318"/>
    <cellStyle name="표준 2 2 6 3 2 3 3 2" xfId="18566"/>
    <cellStyle name="표준 2 2 6 3 2 3 4" xfId="4879"/>
    <cellStyle name="표준 2 2 6 3 2 3 4 2" xfId="16128"/>
    <cellStyle name="표준 2 2 6 3 2 3 5" xfId="2884"/>
    <cellStyle name="표준 2 2 6 3 2 3 5 2" xfId="14162"/>
    <cellStyle name="표준 2 2 6 3 2 3 6" xfId="12702"/>
    <cellStyle name="표준 2 2 6 3 2 4" xfId="8766"/>
    <cellStyle name="표준 2 2 6 3 2 4 2" xfId="20014"/>
    <cellStyle name="표준 2 2 6 3 2 5" xfId="6328"/>
    <cellStyle name="표준 2 2 6 3 2 5 2" xfId="17576"/>
    <cellStyle name="표준 2 2 6 3 2 6" xfId="11022"/>
    <cellStyle name="표준 2 2 6 3 2 6 2" xfId="22269"/>
    <cellStyle name="표준 2 2 6 3 2 7" xfId="3887"/>
    <cellStyle name="표준 2 2 6 3 2 7 2" xfId="15138"/>
    <cellStyle name="표준 2 2 6 3 2 8" xfId="1948"/>
    <cellStyle name="표준 2 2 6 3 2 8 2" xfId="13375"/>
    <cellStyle name="표준 2 2 6 3 2 9" xfId="11915"/>
    <cellStyle name="표준 2 2 6 3 3" xfId="450"/>
    <cellStyle name="표준 2 2 6 3 3 2" xfId="1543"/>
    <cellStyle name="표준 2 2 6 3 3 2 2" xfId="9982"/>
    <cellStyle name="표준 2 2 6 3 3 2 2 2" xfId="21230"/>
    <cellStyle name="표준 2 2 6 3 3 2 3" xfId="7544"/>
    <cellStyle name="표준 2 2 6 3 3 2 3 2" xfId="18792"/>
    <cellStyle name="표준 2 2 6 3 3 2 4" xfId="5105"/>
    <cellStyle name="표준 2 2 6 3 3 2 4 2" xfId="16354"/>
    <cellStyle name="표준 2 2 6 3 3 2 5" xfId="3155"/>
    <cellStyle name="표준 2 2 6 3 3 2 5 2" xfId="14433"/>
    <cellStyle name="표준 2 2 6 3 3 2 6" xfId="12973"/>
    <cellStyle name="표준 2 2 6 3 3 3" xfId="8992"/>
    <cellStyle name="표준 2 2 6 3 3 3 2" xfId="20240"/>
    <cellStyle name="표준 2 2 6 3 3 4" xfId="6554"/>
    <cellStyle name="표준 2 2 6 3 3 4 2" xfId="17802"/>
    <cellStyle name="표준 2 2 6 3 3 5" xfId="4113"/>
    <cellStyle name="표준 2 2 6 3 3 5 2" xfId="15364"/>
    <cellStyle name="표준 2 2 6 3 3 6" xfId="2122"/>
    <cellStyle name="표준 2 2 6 3 3 6 2" xfId="13549"/>
    <cellStyle name="표준 2 2 6 3 3 7" xfId="12089"/>
    <cellStyle name="표준 2 2 6 3 4" xfId="765"/>
    <cellStyle name="표준 2 2 6 3 4 2" xfId="9530"/>
    <cellStyle name="표준 2 2 6 3 4 2 2" xfId="20778"/>
    <cellStyle name="표준 2 2 6 3 4 3" xfId="7092"/>
    <cellStyle name="표준 2 2 6 3 4 3 2" xfId="18340"/>
    <cellStyle name="표준 2 2 6 3 4 4" xfId="4653"/>
    <cellStyle name="표준 2 2 6 3 4 4 2" xfId="15902"/>
    <cellStyle name="표준 2 2 6 3 4 5" xfId="2392"/>
    <cellStyle name="표준 2 2 6 3 4 5 2" xfId="13787"/>
    <cellStyle name="표준 2 2 6 3 4 6" xfId="12327"/>
    <cellStyle name="표준 2 2 6 3 5" xfId="1153"/>
    <cellStyle name="표준 2 2 6 3 5 2" xfId="8568"/>
    <cellStyle name="표준 2 2 6 3 5 2 2" xfId="19816"/>
    <cellStyle name="표준 2 2 6 3 5 3" xfId="6130"/>
    <cellStyle name="표준 2 2 6 3 5 3 2" xfId="17378"/>
    <cellStyle name="표준 2 2 6 3 5 4" xfId="3689"/>
    <cellStyle name="표준 2 2 6 3 5 4 2" xfId="14940"/>
    <cellStyle name="표준 2 2 6 3 5 5" xfId="2774"/>
    <cellStyle name="표준 2 2 6 3 5 5 2" xfId="14052"/>
    <cellStyle name="표준 2 2 6 3 5 6" xfId="12592"/>
    <cellStyle name="표준 2 2 6 3 6" xfId="8391"/>
    <cellStyle name="표준 2 2 6 3 6 2" xfId="19639"/>
    <cellStyle name="표준 2 2 6 3 7" xfId="5953"/>
    <cellStyle name="표준 2 2 6 3 7 2" xfId="17201"/>
    <cellStyle name="표준 2 2 6 3 8" xfId="10837"/>
    <cellStyle name="표준 2 2 6 3 8 2" xfId="22085"/>
    <cellStyle name="표준 2 2 6 3 9" xfId="3491"/>
    <cellStyle name="표준 2 2 6 3 9 2" xfId="14763"/>
    <cellStyle name="표준 2 2 6 4" xfId="244"/>
    <cellStyle name="표준 2 2 6 4 10" xfId="11883"/>
    <cellStyle name="표준 2 2 6 4 2" xfId="528"/>
    <cellStyle name="표준 2 2 6 4 2 2" xfId="1616"/>
    <cellStyle name="표준 2 2 6 4 2 2 2" xfId="5418"/>
    <cellStyle name="표준 2 2 6 4 2 2 2 2" xfId="10295"/>
    <cellStyle name="표준 2 2 6 4 2 2 2 2 2" xfId="21543"/>
    <cellStyle name="표준 2 2 6 4 2 2 2 3" xfId="7857"/>
    <cellStyle name="표준 2 2 6 4 2 2 2 3 2" xfId="19105"/>
    <cellStyle name="표준 2 2 6 4 2 2 2 4" xfId="16667"/>
    <cellStyle name="표준 2 2 6 4 2 2 3" xfId="9305"/>
    <cellStyle name="표준 2 2 6 4 2 2 3 2" xfId="20553"/>
    <cellStyle name="표준 2 2 6 4 2 2 4" xfId="6867"/>
    <cellStyle name="표준 2 2 6 4 2 2 4 2" xfId="18115"/>
    <cellStyle name="표준 2 2 6 4 2 2 5" xfId="4426"/>
    <cellStyle name="표준 2 2 6 4 2 2 5 2" xfId="15677"/>
    <cellStyle name="표준 2 2 6 4 2 2 6" xfId="3228"/>
    <cellStyle name="표준 2 2 6 4 2 2 6 2" xfId="14506"/>
    <cellStyle name="표준 2 2 6 4 2 2 7" xfId="13046"/>
    <cellStyle name="표준 2 2 6 4 2 3" xfId="4965"/>
    <cellStyle name="표준 2 2 6 4 2 3 2" xfId="9842"/>
    <cellStyle name="표준 2 2 6 4 2 3 2 2" xfId="21090"/>
    <cellStyle name="표준 2 2 6 4 2 3 3" xfId="7404"/>
    <cellStyle name="표준 2 2 6 4 2 3 3 2" xfId="18652"/>
    <cellStyle name="표준 2 2 6 4 2 3 4" xfId="16214"/>
    <cellStyle name="표준 2 2 6 4 2 4" xfId="8852"/>
    <cellStyle name="표준 2 2 6 4 2 4 2" xfId="20100"/>
    <cellStyle name="표준 2 2 6 4 2 5" xfId="6414"/>
    <cellStyle name="표준 2 2 6 4 2 5 2" xfId="17662"/>
    <cellStyle name="표준 2 2 6 4 2 6" xfId="3973"/>
    <cellStyle name="표준 2 2 6 4 2 6 2" xfId="15224"/>
    <cellStyle name="표준 2 2 6 4 2 7" xfId="2200"/>
    <cellStyle name="표준 2 2 6 4 2 7 2" xfId="13627"/>
    <cellStyle name="표준 2 2 6 4 2 8" xfId="12167"/>
    <cellStyle name="표준 2 2 6 4 3" xfId="1231"/>
    <cellStyle name="표준 2 2 6 4 3 2" xfId="5191"/>
    <cellStyle name="표준 2 2 6 4 3 2 2" xfId="10068"/>
    <cellStyle name="표준 2 2 6 4 3 2 2 2" xfId="21316"/>
    <cellStyle name="표준 2 2 6 4 3 2 3" xfId="7630"/>
    <cellStyle name="표준 2 2 6 4 3 2 3 2" xfId="18878"/>
    <cellStyle name="표준 2 2 6 4 3 2 4" xfId="16440"/>
    <cellStyle name="표준 2 2 6 4 3 3" xfId="9078"/>
    <cellStyle name="표준 2 2 6 4 3 3 2" xfId="20326"/>
    <cellStyle name="표준 2 2 6 4 3 4" xfId="6640"/>
    <cellStyle name="표준 2 2 6 4 3 4 2" xfId="17888"/>
    <cellStyle name="표준 2 2 6 4 3 5" xfId="4199"/>
    <cellStyle name="표준 2 2 6 4 3 5 2" xfId="15450"/>
    <cellStyle name="표준 2 2 6 4 3 6" xfId="2852"/>
    <cellStyle name="표준 2 2 6 4 3 6 2" xfId="14130"/>
    <cellStyle name="표준 2 2 6 4 3 7" xfId="12670"/>
    <cellStyle name="표준 2 2 6 4 4" xfId="4739"/>
    <cellStyle name="표준 2 2 6 4 4 2" xfId="9616"/>
    <cellStyle name="표준 2 2 6 4 4 2 2" xfId="20864"/>
    <cellStyle name="표준 2 2 6 4 4 3" xfId="7178"/>
    <cellStyle name="표준 2 2 6 4 4 3 2" xfId="18426"/>
    <cellStyle name="표준 2 2 6 4 4 4" xfId="15988"/>
    <cellStyle name="표준 2 2 6 4 5" xfId="8626"/>
    <cellStyle name="표준 2 2 6 4 5 2" xfId="19874"/>
    <cellStyle name="표준 2 2 6 4 6" xfId="6188"/>
    <cellStyle name="표준 2 2 6 4 6 2" xfId="17436"/>
    <cellStyle name="표준 2 2 6 4 7" xfId="10939"/>
    <cellStyle name="표준 2 2 6 4 7 2" xfId="22186"/>
    <cellStyle name="표준 2 2 6 4 8" xfId="3747"/>
    <cellStyle name="표준 2 2 6 4 8 2" xfId="14998"/>
    <cellStyle name="표준 2 2 6 4 9" xfId="1916"/>
    <cellStyle name="표준 2 2 6 4 9 2" xfId="13343"/>
    <cellStyle name="표준 2 2 6 5" xfId="418"/>
    <cellStyle name="표준 2 2 6 5 2" xfId="1516"/>
    <cellStyle name="표준 2 2 6 5 2 2" xfId="5302"/>
    <cellStyle name="표준 2 2 6 5 2 2 2" xfId="10179"/>
    <cellStyle name="표준 2 2 6 5 2 2 2 2" xfId="21427"/>
    <cellStyle name="표준 2 2 6 5 2 2 3" xfId="7741"/>
    <cellStyle name="표준 2 2 6 5 2 2 3 2" xfId="18989"/>
    <cellStyle name="표준 2 2 6 5 2 2 4" xfId="16551"/>
    <cellStyle name="표준 2 2 6 5 2 3" xfId="9189"/>
    <cellStyle name="표준 2 2 6 5 2 3 2" xfId="20437"/>
    <cellStyle name="표준 2 2 6 5 2 4" xfId="6751"/>
    <cellStyle name="표준 2 2 6 5 2 4 2" xfId="17999"/>
    <cellStyle name="표준 2 2 6 5 2 5" xfId="4310"/>
    <cellStyle name="표준 2 2 6 5 2 5 2" xfId="15561"/>
    <cellStyle name="표준 2 2 6 5 2 6" xfId="3128"/>
    <cellStyle name="표준 2 2 6 5 2 6 2" xfId="14406"/>
    <cellStyle name="표준 2 2 6 5 2 7" xfId="12946"/>
    <cellStyle name="표준 2 2 6 5 3" xfId="1121"/>
    <cellStyle name="표준 2 2 6 5 3 2" xfId="9726"/>
    <cellStyle name="표준 2 2 6 5 3 2 2" xfId="20974"/>
    <cellStyle name="표준 2 2 6 5 3 3" xfId="7288"/>
    <cellStyle name="표준 2 2 6 5 3 3 2" xfId="18536"/>
    <cellStyle name="표준 2 2 6 5 3 4" xfId="4849"/>
    <cellStyle name="표준 2 2 6 5 3 4 2" xfId="16098"/>
    <cellStyle name="표준 2 2 6 5 3 5" xfId="2742"/>
    <cellStyle name="표준 2 2 6 5 3 5 2" xfId="14020"/>
    <cellStyle name="표준 2 2 6 5 3 6" xfId="12560"/>
    <cellStyle name="표준 2 2 6 5 4" xfId="8736"/>
    <cellStyle name="표준 2 2 6 5 4 2" xfId="19984"/>
    <cellStyle name="표준 2 2 6 5 5" xfId="6298"/>
    <cellStyle name="표준 2 2 6 5 5 2" xfId="17546"/>
    <cellStyle name="표준 2 2 6 5 6" xfId="3857"/>
    <cellStyle name="표준 2 2 6 5 6 2" xfId="15108"/>
    <cellStyle name="표준 2 2 6 5 7" xfId="2090"/>
    <cellStyle name="표준 2 2 6 5 7 2" xfId="13517"/>
    <cellStyle name="표준 2 2 6 5 8" xfId="12057"/>
    <cellStyle name="표준 2 2 6 6" xfId="340"/>
    <cellStyle name="표준 2 2 6 6 2" xfId="1710"/>
    <cellStyle name="표준 2 2 6 6 2 2" xfId="9952"/>
    <cellStyle name="표준 2 2 6 6 2 2 2" xfId="21200"/>
    <cellStyle name="표준 2 2 6 6 2 3" xfId="7514"/>
    <cellStyle name="표준 2 2 6 6 2 3 2" xfId="18762"/>
    <cellStyle name="표준 2 2 6 6 2 4" xfId="5075"/>
    <cellStyle name="표준 2 2 6 6 2 4 2" xfId="16324"/>
    <cellStyle name="표준 2 2 6 6 2 5" xfId="3322"/>
    <cellStyle name="표준 2 2 6 6 2 5 2" xfId="14600"/>
    <cellStyle name="표준 2 2 6 6 2 6" xfId="13140"/>
    <cellStyle name="표준 2 2 6 6 3" xfId="1328"/>
    <cellStyle name="표준 2 2 6 6 3 2" xfId="8962"/>
    <cellStyle name="표준 2 2 6 6 3 2 2" xfId="20210"/>
    <cellStyle name="표준 2 2 6 6 3 3" xfId="2949"/>
    <cellStyle name="표준 2 2 6 6 3 3 2" xfId="14227"/>
    <cellStyle name="표준 2 2 6 6 3 4" xfId="12767"/>
    <cellStyle name="표준 2 2 6 6 4" xfId="6524"/>
    <cellStyle name="표준 2 2 6 6 4 2" xfId="17772"/>
    <cellStyle name="표준 2 2 6 6 5" xfId="4083"/>
    <cellStyle name="표준 2 2 6 6 5 2" xfId="15334"/>
    <cellStyle name="표준 2 2 6 6 6" xfId="2012"/>
    <cellStyle name="표준 2 2 6 6 6 2" xfId="13439"/>
    <cellStyle name="표준 2 2 6 6 7" xfId="11979"/>
    <cellStyle name="표준 2 2 6 7" xfId="639"/>
    <cellStyle name="표준 2 2 6 7 2" xfId="1418"/>
    <cellStyle name="표준 2 2 6 7 2 2" xfId="10389"/>
    <cellStyle name="표준 2 2 6 7 2 2 2" xfId="21637"/>
    <cellStyle name="표준 2 2 6 7 2 3" xfId="7951"/>
    <cellStyle name="표준 2 2 6 7 2 3 2" xfId="19199"/>
    <cellStyle name="표준 2 2 6 7 2 4" xfId="5512"/>
    <cellStyle name="표준 2 2 6 7 2 4 2" xfId="16761"/>
    <cellStyle name="표준 2 2 6 7 2 5" xfId="3032"/>
    <cellStyle name="표준 2 2 6 7 2 5 2" xfId="14310"/>
    <cellStyle name="표준 2 2 6 7 2 6" xfId="12850"/>
    <cellStyle name="표준 2 2 6 7 3" xfId="9399"/>
    <cellStyle name="표준 2 2 6 7 3 2" xfId="20647"/>
    <cellStyle name="표준 2 2 6 7 4" xfId="6961"/>
    <cellStyle name="표준 2 2 6 7 4 2" xfId="18209"/>
    <cellStyle name="표준 2 2 6 7 5" xfId="4522"/>
    <cellStyle name="표준 2 2 6 7 5 2" xfId="15771"/>
    <cellStyle name="표준 2 2 6 7 6" xfId="2310"/>
    <cellStyle name="표준 2 2 6 7 6 2" xfId="13725"/>
    <cellStyle name="표준 2 2 6 7 7" xfId="12265"/>
    <cellStyle name="표준 2 2 6 8" xfId="1043"/>
    <cellStyle name="표준 2 2 6 8 2" xfId="9500"/>
    <cellStyle name="표준 2 2 6 8 2 2" xfId="20748"/>
    <cellStyle name="표준 2 2 6 8 3" xfId="7062"/>
    <cellStyle name="표준 2 2 6 8 3 2" xfId="18310"/>
    <cellStyle name="표준 2 2 6 8 4" xfId="4623"/>
    <cellStyle name="표준 2 2 6 8 4 2" xfId="15872"/>
    <cellStyle name="표준 2 2 6 8 5" xfId="2664"/>
    <cellStyle name="표준 2 2 6 8 5 2" xfId="13942"/>
    <cellStyle name="표준 2 2 6 8 6" xfId="12482"/>
    <cellStyle name="표준 2 2 6 9" xfId="980"/>
    <cellStyle name="표준 2 2 6 9 2" xfId="10473"/>
    <cellStyle name="표준 2 2 6 9 2 2" xfId="21721"/>
    <cellStyle name="표준 2 2 6 9 3" xfId="8035"/>
    <cellStyle name="표준 2 2 6 9 3 2" xfId="19283"/>
    <cellStyle name="표준 2 2 6 9 4" xfId="5596"/>
    <cellStyle name="표준 2 2 6 9 4 2" xfId="16845"/>
    <cellStyle name="표준 2 2 6 9 5" xfId="2601"/>
    <cellStyle name="표준 2 2 6 9 5 2" xfId="13879"/>
    <cellStyle name="표준 2 2 6 9 6" xfId="12419"/>
    <cellStyle name="표준 2 2 7" xfId="170"/>
    <cellStyle name="표준 2 2 7 10" xfId="3590"/>
    <cellStyle name="표준 2 2 7 10 2" xfId="8489"/>
    <cellStyle name="표준 2 2 7 10 2 2" xfId="19737"/>
    <cellStyle name="표준 2 2 7 10 3" xfId="6051"/>
    <cellStyle name="표준 2 2 7 10 3 2" xfId="17299"/>
    <cellStyle name="표준 2 2 7 10 4" xfId="14861"/>
    <cellStyle name="표준 2 2 7 11" xfId="8310"/>
    <cellStyle name="표준 2 2 7 11 2" xfId="19558"/>
    <cellStyle name="표준 2 2 7 12" xfId="5872"/>
    <cellStyle name="표준 2 2 7 12 2" xfId="17120"/>
    <cellStyle name="표준 2 2 7 13" xfId="10756"/>
    <cellStyle name="표준 2 2 7 13 2" xfId="22004"/>
    <cellStyle name="표준 2 2 7 14" xfId="3404"/>
    <cellStyle name="표준 2 2 7 14 2" xfId="14682"/>
    <cellStyle name="표준 2 2 7 15" xfId="1844"/>
    <cellStyle name="표준 2 2 7 15 2" xfId="13271"/>
    <cellStyle name="표준 2 2 7 16" xfId="11811"/>
    <cellStyle name="표준 2 2 7 2" xfId="282"/>
    <cellStyle name="표준 2 2 7 2 10" xfId="1954"/>
    <cellStyle name="표준 2 2 7 2 10 2" xfId="13381"/>
    <cellStyle name="표준 2 2 7 2 11" xfId="11921"/>
    <cellStyle name="표준 2 2 7 2 2" xfId="566"/>
    <cellStyle name="표준 2 2 7 2 2 2" xfId="1654"/>
    <cellStyle name="표준 2 2 7 2 2 2 2" xfId="5420"/>
    <cellStyle name="표준 2 2 7 2 2 2 2 2" xfId="10297"/>
    <cellStyle name="표준 2 2 7 2 2 2 2 2 2" xfId="21545"/>
    <cellStyle name="표준 2 2 7 2 2 2 2 3" xfId="7859"/>
    <cellStyle name="표준 2 2 7 2 2 2 2 3 2" xfId="19107"/>
    <cellStyle name="표준 2 2 7 2 2 2 2 4" xfId="16669"/>
    <cellStyle name="표준 2 2 7 2 2 2 3" xfId="9307"/>
    <cellStyle name="표준 2 2 7 2 2 2 3 2" xfId="20555"/>
    <cellStyle name="표준 2 2 7 2 2 2 4" xfId="6869"/>
    <cellStyle name="표준 2 2 7 2 2 2 4 2" xfId="18117"/>
    <cellStyle name="표준 2 2 7 2 2 2 5" xfId="4428"/>
    <cellStyle name="표준 2 2 7 2 2 2 5 2" xfId="15679"/>
    <cellStyle name="표준 2 2 7 2 2 2 6" xfId="3266"/>
    <cellStyle name="표준 2 2 7 2 2 2 6 2" xfId="14544"/>
    <cellStyle name="표준 2 2 7 2 2 2 7" xfId="13084"/>
    <cellStyle name="표준 2 2 7 2 2 3" xfId="4967"/>
    <cellStyle name="표준 2 2 7 2 2 3 2" xfId="9844"/>
    <cellStyle name="표준 2 2 7 2 2 3 2 2" xfId="21092"/>
    <cellStyle name="표준 2 2 7 2 2 3 3" xfId="7406"/>
    <cellStyle name="표준 2 2 7 2 2 3 3 2" xfId="18654"/>
    <cellStyle name="표준 2 2 7 2 2 3 4" xfId="16216"/>
    <cellStyle name="표준 2 2 7 2 2 4" xfId="8854"/>
    <cellStyle name="표준 2 2 7 2 2 4 2" xfId="20102"/>
    <cellStyle name="표준 2 2 7 2 2 5" xfId="6416"/>
    <cellStyle name="표준 2 2 7 2 2 5 2" xfId="17664"/>
    <cellStyle name="표준 2 2 7 2 2 6" xfId="11024"/>
    <cellStyle name="표준 2 2 7 2 2 6 2" xfId="22271"/>
    <cellStyle name="표준 2 2 7 2 2 7" xfId="3975"/>
    <cellStyle name="표준 2 2 7 2 2 7 2" xfId="15226"/>
    <cellStyle name="표준 2 2 7 2 2 8" xfId="2238"/>
    <cellStyle name="표준 2 2 7 2 2 8 2" xfId="13665"/>
    <cellStyle name="표준 2 2 7 2 2 9" xfId="12205"/>
    <cellStyle name="표준 2 2 7 2 3" xfId="767"/>
    <cellStyle name="표준 2 2 7 2 3 2" xfId="5193"/>
    <cellStyle name="표준 2 2 7 2 3 2 2" xfId="10070"/>
    <cellStyle name="표준 2 2 7 2 3 2 2 2" xfId="21318"/>
    <cellStyle name="표준 2 2 7 2 3 2 3" xfId="7632"/>
    <cellStyle name="표준 2 2 7 2 3 2 3 2" xfId="18880"/>
    <cellStyle name="표준 2 2 7 2 3 2 4" xfId="16442"/>
    <cellStyle name="표준 2 2 7 2 3 3" xfId="9080"/>
    <cellStyle name="표준 2 2 7 2 3 3 2" xfId="20328"/>
    <cellStyle name="표준 2 2 7 2 3 4" xfId="6642"/>
    <cellStyle name="표준 2 2 7 2 3 4 2" xfId="17890"/>
    <cellStyle name="표준 2 2 7 2 3 5" xfId="4201"/>
    <cellStyle name="표준 2 2 7 2 3 5 2" xfId="15452"/>
    <cellStyle name="표준 2 2 7 2 3 6" xfId="2394"/>
    <cellStyle name="표준 2 2 7 2 3 6 2" xfId="13789"/>
    <cellStyle name="표준 2 2 7 2 3 7" xfId="12329"/>
    <cellStyle name="표준 2 2 7 2 4" xfId="1269"/>
    <cellStyle name="표준 2 2 7 2 4 2" xfId="9618"/>
    <cellStyle name="표준 2 2 7 2 4 2 2" xfId="20866"/>
    <cellStyle name="표준 2 2 7 2 4 3" xfId="7180"/>
    <cellStyle name="표준 2 2 7 2 4 3 2" xfId="18428"/>
    <cellStyle name="표준 2 2 7 2 4 4" xfId="4741"/>
    <cellStyle name="표준 2 2 7 2 4 4 2" xfId="15990"/>
    <cellStyle name="표준 2 2 7 2 4 5" xfId="2890"/>
    <cellStyle name="표준 2 2 7 2 4 5 2" xfId="14168"/>
    <cellStyle name="표준 2 2 7 2 4 6" xfId="12708"/>
    <cellStyle name="표준 2 2 7 2 5" xfId="3749"/>
    <cellStyle name="표준 2 2 7 2 5 2" xfId="8628"/>
    <cellStyle name="표준 2 2 7 2 5 2 2" xfId="19876"/>
    <cellStyle name="표준 2 2 7 2 5 3" xfId="6190"/>
    <cellStyle name="표준 2 2 7 2 5 3 2" xfId="17438"/>
    <cellStyle name="표준 2 2 7 2 5 4" xfId="15000"/>
    <cellStyle name="표준 2 2 7 2 6" xfId="8393"/>
    <cellStyle name="표준 2 2 7 2 6 2" xfId="19641"/>
    <cellStyle name="표준 2 2 7 2 7" xfId="5955"/>
    <cellStyle name="표준 2 2 7 2 7 2" xfId="17203"/>
    <cellStyle name="표준 2 2 7 2 8" xfId="10839"/>
    <cellStyle name="표준 2 2 7 2 8 2" xfId="22087"/>
    <cellStyle name="표준 2 2 7 2 9" xfId="3493"/>
    <cellStyle name="표준 2 2 7 2 9 2" xfId="14765"/>
    <cellStyle name="표준 2 2 7 3" xfId="456"/>
    <cellStyle name="표준 2 2 7 3 2" xfId="1549"/>
    <cellStyle name="표준 2 2 7 3 2 2" xfId="5334"/>
    <cellStyle name="표준 2 2 7 3 2 2 2" xfId="10211"/>
    <cellStyle name="표준 2 2 7 3 2 2 2 2" xfId="21459"/>
    <cellStyle name="표준 2 2 7 3 2 2 3" xfId="7773"/>
    <cellStyle name="표준 2 2 7 3 2 2 3 2" xfId="19021"/>
    <cellStyle name="표준 2 2 7 3 2 2 4" xfId="16583"/>
    <cellStyle name="표준 2 2 7 3 2 3" xfId="9221"/>
    <cellStyle name="표준 2 2 7 3 2 3 2" xfId="20469"/>
    <cellStyle name="표준 2 2 7 3 2 4" xfId="6783"/>
    <cellStyle name="표준 2 2 7 3 2 4 2" xfId="18031"/>
    <cellStyle name="표준 2 2 7 3 2 5" xfId="4342"/>
    <cellStyle name="표준 2 2 7 3 2 5 2" xfId="15593"/>
    <cellStyle name="표준 2 2 7 3 2 6" xfId="3161"/>
    <cellStyle name="표준 2 2 7 3 2 6 2" xfId="14439"/>
    <cellStyle name="표준 2 2 7 3 2 7" xfId="12979"/>
    <cellStyle name="표준 2 2 7 3 3" xfId="1159"/>
    <cellStyle name="표준 2 2 7 3 3 2" xfId="9758"/>
    <cellStyle name="표준 2 2 7 3 3 2 2" xfId="21006"/>
    <cellStyle name="표준 2 2 7 3 3 3" xfId="7320"/>
    <cellStyle name="표준 2 2 7 3 3 3 2" xfId="18568"/>
    <cellStyle name="표준 2 2 7 3 3 4" xfId="4881"/>
    <cellStyle name="표준 2 2 7 3 3 4 2" xfId="16130"/>
    <cellStyle name="표준 2 2 7 3 3 5" xfId="2780"/>
    <cellStyle name="표준 2 2 7 3 3 5 2" xfId="14058"/>
    <cellStyle name="표준 2 2 7 3 3 6" xfId="12598"/>
    <cellStyle name="표준 2 2 7 3 4" xfId="8768"/>
    <cellStyle name="표준 2 2 7 3 4 2" xfId="20016"/>
    <cellStyle name="표준 2 2 7 3 5" xfId="6330"/>
    <cellStyle name="표준 2 2 7 3 5 2" xfId="17578"/>
    <cellStyle name="표준 2 2 7 3 6" xfId="10941"/>
    <cellStyle name="표준 2 2 7 3 6 2" xfId="22188"/>
    <cellStyle name="표준 2 2 7 3 7" xfId="3889"/>
    <cellStyle name="표준 2 2 7 3 7 2" xfId="15140"/>
    <cellStyle name="표준 2 2 7 3 8" xfId="2128"/>
    <cellStyle name="표준 2 2 7 3 8 2" xfId="13555"/>
    <cellStyle name="표준 2 2 7 3 9" xfId="12095"/>
    <cellStyle name="표준 2 2 7 4" xfId="346"/>
    <cellStyle name="표준 2 2 7 4 2" xfId="1712"/>
    <cellStyle name="표준 2 2 7 4 2 2" xfId="9984"/>
    <cellStyle name="표준 2 2 7 4 2 2 2" xfId="21232"/>
    <cellStyle name="표준 2 2 7 4 2 3" xfId="7546"/>
    <cellStyle name="표준 2 2 7 4 2 3 2" xfId="18794"/>
    <cellStyle name="표준 2 2 7 4 2 4" xfId="5107"/>
    <cellStyle name="표준 2 2 7 4 2 4 2" xfId="16356"/>
    <cellStyle name="표준 2 2 7 4 2 5" xfId="3324"/>
    <cellStyle name="표준 2 2 7 4 2 5 2" xfId="14602"/>
    <cellStyle name="표준 2 2 7 4 2 6" xfId="13142"/>
    <cellStyle name="표준 2 2 7 4 3" xfId="1330"/>
    <cellStyle name="표준 2 2 7 4 3 2" xfId="8994"/>
    <cellStyle name="표준 2 2 7 4 3 2 2" xfId="20242"/>
    <cellStyle name="표준 2 2 7 4 3 3" xfId="2951"/>
    <cellStyle name="표준 2 2 7 4 3 3 2" xfId="14229"/>
    <cellStyle name="표준 2 2 7 4 3 4" xfId="12769"/>
    <cellStyle name="표준 2 2 7 4 4" xfId="6556"/>
    <cellStyle name="표준 2 2 7 4 4 2" xfId="17804"/>
    <cellStyle name="표준 2 2 7 4 5" xfId="4115"/>
    <cellStyle name="표준 2 2 7 4 5 2" xfId="15366"/>
    <cellStyle name="표준 2 2 7 4 6" xfId="2018"/>
    <cellStyle name="표준 2 2 7 4 6 2" xfId="13445"/>
    <cellStyle name="표준 2 2 7 4 7" xfId="11985"/>
    <cellStyle name="표준 2 2 7 5" xfId="687"/>
    <cellStyle name="표준 2 2 7 5 2" xfId="1420"/>
    <cellStyle name="표준 2 2 7 5 2 2" xfId="10391"/>
    <cellStyle name="표준 2 2 7 5 2 2 2" xfId="21639"/>
    <cellStyle name="표준 2 2 7 5 2 3" xfId="7953"/>
    <cellStyle name="표준 2 2 7 5 2 3 2" xfId="19201"/>
    <cellStyle name="표준 2 2 7 5 2 4" xfId="5514"/>
    <cellStyle name="표준 2 2 7 5 2 4 2" xfId="16763"/>
    <cellStyle name="표준 2 2 7 5 2 5" xfId="3034"/>
    <cellStyle name="표준 2 2 7 5 2 5 2" xfId="14312"/>
    <cellStyle name="표준 2 2 7 5 2 6" xfId="12852"/>
    <cellStyle name="표준 2 2 7 5 3" xfId="9401"/>
    <cellStyle name="표준 2 2 7 5 3 2" xfId="20649"/>
    <cellStyle name="표준 2 2 7 5 4" xfId="6963"/>
    <cellStyle name="표준 2 2 7 5 4 2" xfId="18211"/>
    <cellStyle name="표준 2 2 7 5 5" xfId="4524"/>
    <cellStyle name="표준 2 2 7 5 5 2" xfId="15773"/>
    <cellStyle name="표준 2 2 7 5 6" xfId="2319"/>
    <cellStyle name="표준 2 2 7 5 6 2" xfId="13732"/>
    <cellStyle name="표준 2 2 7 5 7" xfId="12272"/>
    <cellStyle name="표준 2 2 7 6" xfId="1049"/>
    <cellStyle name="표준 2 2 7 6 2" xfId="9532"/>
    <cellStyle name="표준 2 2 7 6 2 2" xfId="20780"/>
    <cellStyle name="표준 2 2 7 6 3" xfId="7094"/>
    <cellStyle name="표준 2 2 7 6 3 2" xfId="18342"/>
    <cellStyle name="표준 2 2 7 6 4" xfId="4655"/>
    <cellStyle name="표준 2 2 7 6 4 2" xfId="15904"/>
    <cellStyle name="표준 2 2 7 6 5" xfId="2670"/>
    <cellStyle name="표준 2 2 7 6 5 2" xfId="13948"/>
    <cellStyle name="표준 2 2 7 6 6" xfId="12488"/>
    <cellStyle name="표준 2 2 7 7" xfId="985"/>
    <cellStyle name="표준 2 2 7 7 2" xfId="10475"/>
    <cellStyle name="표준 2 2 7 7 2 2" xfId="21723"/>
    <cellStyle name="표준 2 2 7 7 3" xfId="8037"/>
    <cellStyle name="표준 2 2 7 7 3 2" xfId="19285"/>
    <cellStyle name="표준 2 2 7 7 4" xfId="5598"/>
    <cellStyle name="표준 2 2 7 7 4 2" xfId="16847"/>
    <cellStyle name="표준 2 2 7 7 5" xfId="2606"/>
    <cellStyle name="표준 2 2 7 7 5 2" xfId="13884"/>
    <cellStyle name="표준 2 2 7 7 6" xfId="12424"/>
    <cellStyle name="표준 2 2 7 8" xfId="5704"/>
    <cellStyle name="표준 2 2 7 8 2" xfId="10581"/>
    <cellStyle name="표준 2 2 7 8 2 2" xfId="21829"/>
    <cellStyle name="표준 2 2 7 8 3" xfId="8143"/>
    <cellStyle name="표준 2 2 7 8 3 2" xfId="19391"/>
    <cellStyle name="표준 2 2 7 8 4" xfId="16953"/>
    <cellStyle name="표준 2 2 7 9" xfId="5787"/>
    <cellStyle name="표준 2 2 7 9 2" xfId="10664"/>
    <cellStyle name="표준 2 2 7 9 2 2" xfId="21912"/>
    <cellStyle name="표준 2 2 7 9 3" xfId="8226"/>
    <cellStyle name="표준 2 2 7 9 3 2" xfId="19474"/>
    <cellStyle name="표준 2 2 7 9 4" xfId="17036"/>
    <cellStyle name="표준 2 2 8" xfId="200"/>
    <cellStyle name="표준 2 2 8 10" xfId="3591"/>
    <cellStyle name="표준 2 2 8 10 2" xfId="8490"/>
    <cellStyle name="표준 2 2 8 10 2 2" xfId="19738"/>
    <cellStyle name="표준 2 2 8 10 3" xfId="6052"/>
    <cellStyle name="표준 2 2 8 10 3 2" xfId="17300"/>
    <cellStyle name="표준 2 2 8 10 4" xfId="14862"/>
    <cellStyle name="표준 2 2 8 11" xfId="8311"/>
    <cellStyle name="표준 2 2 8 11 2" xfId="19559"/>
    <cellStyle name="표준 2 2 8 12" xfId="5873"/>
    <cellStyle name="표준 2 2 8 12 2" xfId="17121"/>
    <cellStyle name="표준 2 2 8 13" xfId="10757"/>
    <cellStyle name="표준 2 2 8 13 2" xfId="22005"/>
    <cellStyle name="표준 2 2 8 14" xfId="3405"/>
    <cellStyle name="표준 2 2 8 14 2" xfId="14683"/>
    <cellStyle name="표준 2 2 8 15" xfId="1873"/>
    <cellStyle name="표준 2 2 8 15 2" xfId="13300"/>
    <cellStyle name="표준 2 2 8 16" xfId="11840"/>
    <cellStyle name="표준 2 2 8 2" xfId="311"/>
    <cellStyle name="표준 2 2 8 2 10" xfId="1983"/>
    <cellStyle name="표준 2 2 8 2 10 2" xfId="13410"/>
    <cellStyle name="표준 2 2 8 2 11" xfId="11950"/>
    <cellStyle name="표준 2 2 8 2 2" xfId="595"/>
    <cellStyle name="표준 2 2 8 2 2 2" xfId="1683"/>
    <cellStyle name="표준 2 2 8 2 2 2 2" xfId="5421"/>
    <cellStyle name="표준 2 2 8 2 2 2 2 2" xfId="10298"/>
    <cellStyle name="표준 2 2 8 2 2 2 2 2 2" xfId="21546"/>
    <cellStyle name="표준 2 2 8 2 2 2 2 3" xfId="7860"/>
    <cellStyle name="표준 2 2 8 2 2 2 2 3 2" xfId="19108"/>
    <cellStyle name="표준 2 2 8 2 2 2 2 4" xfId="16670"/>
    <cellStyle name="표준 2 2 8 2 2 2 3" xfId="9308"/>
    <cellStyle name="표준 2 2 8 2 2 2 3 2" xfId="20556"/>
    <cellStyle name="표준 2 2 8 2 2 2 4" xfId="6870"/>
    <cellStyle name="표준 2 2 8 2 2 2 4 2" xfId="18118"/>
    <cellStyle name="표준 2 2 8 2 2 2 5" xfId="4429"/>
    <cellStyle name="표준 2 2 8 2 2 2 5 2" xfId="15680"/>
    <cellStyle name="표준 2 2 8 2 2 2 6" xfId="3295"/>
    <cellStyle name="표준 2 2 8 2 2 2 6 2" xfId="14573"/>
    <cellStyle name="표준 2 2 8 2 2 2 7" xfId="13113"/>
    <cellStyle name="표준 2 2 8 2 2 3" xfId="4968"/>
    <cellStyle name="표준 2 2 8 2 2 3 2" xfId="9845"/>
    <cellStyle name="표준 2 2 8 2 2 3 2 2" xfId="21093"/>
    <cellStyle name="표준 2 2 8 2 2 3 3" xfId="7407"/>
    <cellStyle name="표준 2 2 8 2 2 3 3 2" xfId="18655"/>
    <cellStyle name="표준 2 2 8 2 2 3 4" xfId="16217"/>
    <cellStyle name="표준 2 2 8 2 2 4" xfId="8855"/>
    <cellStyle name="표준 2 2 8 2 2 4 2" xfId="20103"/>
    <cellStyle name="표준 2 2 8 2 2 5" xfId="6417"/>
    <cellStyle name="표준 2 2 8 2 2 5 2" xfId="17665"/>
    <cellStyle name="표준 2 2 8 2 2 6" xfId="11025"/>
    <cellStyle name="표준 2 2 8 2 2 6 2" xfId="22272"/>
    <cellStyle name="표준 2 2 8 2 2 7" xfId="3976"/>
    <cellStyle name="표준 2 2 8 2 2 7 2" xfId="15227"/>
    <cellStyle name="표준 2 2 8 2 2 8" xfId="2267"/>
    <cellStyle name="표준 2 2 8 2 2 8 2" xfId="13694"/>
    <cellStyle name="표준 2 2 8 2 2 9" xfId="12234"/>
    <cellStyle name="표준 2 2 8 2 3" xfId="1298"/>
    <cellStyle name="표준 2 2 8 2 3 2" xfId="5194"/>
    <cellStyle name="표준 2 2 8 2 3 2 2" xfId="10071"/>
    <cellStyle name="표준 2 2 8 2 3 2 2 2" xfId="21319"/>
    <cellStyle name="표준 2 2 8 2 3 2 3" xfId="7633"/>
    <cellStyle name="표준 2 2 8 2 3 2 3 2" xfId="18881"/>
    <cellStyle name="표준 2 2 8 2 3 2 4" xfId="16443"/>
    <cellStyle name="표준 2 2 8 2 3 3" xfId="9081"/>
    <cellStyle name="표준 2 2 8 2 3 3 2" xfId="20329"/>
    <cellStyle name="표준 2 2 8 2 3 4" xfId="6643"/>
    <cellStyle name="표준 2 2 8 2 3 4 2" xfId="17891"/>
    <cellStyle name="표준 2 2 8 2 3 5" xfId="4202"/>
    <cellStyle name="표준 2 2 8 2 3 5 2" xfId="15453"/>
    <cellStyle name="표준 2 2 8 2 3 6" xfId="2919"/>
    <cellStyle name="표준 2 2 8 2 3 6 2" xfId="14197"/>
    <cellStyle name="표준 2 2 8 2 3 7" xfId="12737"/>
    <cellStyle name="표준 2 2 8 2 4" xfId="4742"/>
    <cellStyle name="표준 2 2 8 2 4 2" xfId="9619"/>
    <cellStyle name="표준 2 2 8 2 4 2 2" xfId="20867"/>
    <cellStyle name="표준 2 2 8 2 4 3" xfId="7181"/>
    <cellStyle name="표준 2 2 8 2 4 3 2" xfId="18429"/>
    <cellStyle name="표준 2 2 8 2 4 4" xfId="15991"/>
    <cellStyle name="표준 2 2 8 2 5" xfId="3750"/>
    <cellStyle name="표준 2 2 8 2 5 2" xfId="8629"/>
    <cellStyle name="표준 2 2 8 2 5 2 2" xfId="19877"/>
    <cellStyle name="표준 2 2 8 2 5 3" xfId="6191"/>
    <cellStyle name="표준 2 2 8 2 5 3 2" xfId="17439"/>
    <cellStyle name="표준 2 2 8 2 5 4" xfId="15001"/>
    <cellStyle name="표준 2 2 8 2 6" xfId="8394"/>
    <cellStyle name="표준 2 2 8 2 6 2" xfId="19642"/>
    <cellStyle name="표준 2 2 8 2 7" xfId="5956"/>
    <cellStyle name="표준 2 2 8 2 7 2" xfId="17204"/>
    <cellStyle name="표준 2 2 8 2 8" xfId="10840"/>
    <cellStyle name="표준 2 2 8 2 8 2" xfId="22088"/>
    <cellStyle name="표준 2 2 8 2 9" xfId="3494"/>
    <cellStyle name="표준 2 2 8 2 9 2" xfId="14766"/>
    <cellStyle name="표준 2 2 8 3" xfId="485"/>
    <cellStyle name="표준 2 2 8 3 2" xfId="1578"/>
    <cellStyle name="표준 2 2 8 3 2 2" xfId="5335"/>
    <cellStyle name="표준 2 2 8 3 2 2 2" xfId="10212"/>
    <cellStyle name="표준 2 2 8 3 2 2 2 2" xfId="21460"/>
    <cellStyle name="표준 2 2 8 3 2 2 3" xfId="7774"/>
    <cellStyle name="표준 2 2 8 3 2 2 3 2" xfId="19022"/>
    <cellStyle name="표준 2 2 8 3 2 2 4" xfId="16584"/>
    <cellStyle name="표준 2 2 8 3 2 3" xfId="9222"/>
    <cellStyle name="표준 2 2 8 3 2 3 2" xfId="20470"/>
    <cellStyle name="표준 2 2 8 3 2 4" xfId="6784"/>
    <cellStyle name="표준 2 2 8 3 2 4 2" xfId="18032"/>
    <cellStyle name="표준 2 2 8 3 2 5" xfId="4343"/>
    <cellStyle name="표준 2 2 8 3 2 5 2" xfId="15594"/>
    <cellStyle name="표준 2 2 8 3 2 6" xfId="3190"/>
    <cellStyle name="표준 2 2 8 3 2 6 2" xfId="14468"/>
    <cellStyle name="표준 2 2 8 3 2 7" xfId="13008"/>
    <cellStyle name="표준 2 2 8 3 3" xfId="1188"/>
    <cellStyle name="표준 2 2 8 3 3 2" xfId="9759"/>
    <cellStyle name="표준 2 2 8 3 3 2 2" xfId="21007"/>
    <cellStyle name="표준 2 2 8 3 3 3" xfId="7321"/>
    <cellStyle name="표준 2 2 8 3 3 3 2" xfId="18569"/>
    <cellStyle name="표준 2 2 8 3 3 4" xfId="4882"/>
    <cellStyle name="표준 2 2 8 3 3 4 2" xfId="16131"/>
    <cellStyle name="표준 2 2 8 3 3 5" xfId="2809"/>
    <cellStyle name="표준 2 2 8 3 3 5 2" xfId="14087"/>
    <cellStyle name="표준 2 2 8 3 3 6" xfId="12627"/>
    <cellStyle name="표준 2 2 8 3 4" xfId="8769"/>
    <cellStyle name="표준 2 2 8 3 4 2" xfId="20017"/>
    <cellStyle name="표준 2 2 8 3 5" xfId="6331"/>
    <cellStyle name="표준 2 2 8 3 5 2" xfId="17579"/>
    <cellStyle name="표준 2 2 8 3 6" xfId="10942"/>
    <cellStyle name="표준 2 2 8 3 6 2" xfId="22189"/>
    <cellStyle name="표준 2 2 8 3 7" xfId="3890"/>
    <cellStyle name="표준 2 2 8 3 7 2" xfId="15141"/>
    <cellStyle name="표준 2 2 8 3 8" xfId="2157"/>
    <cellStyle name="표준 2 2 8 3 8 2" xfId="13584"/>
    <cellStyle name="표준 2 2 8 3 9" xfId="12124"/>
    <cellStyle name="표준 2 2 8 4" xfId="375"/>
    <cellStyle name="표준 2 2 8 4 2" xfId="1713"/>
    <cellStyle name="표준 2 2 8 4 2 2" xfId="9985"/>
    <cellStyle name="표준 2 2 8 4 2 2 2" xfId="21233"/>
    <cellStyle name="표준 2 2 8 4 2 3" xfId="7547"/>
    <cellStyle name="표준 2 2 8 4 2 3 2" xfId="18795"/>
    <cellStyle name="표준 2 2 8 4 2 4" xfId="5108"/>
    <cellStyle name="표준 2 2 8 4 2 4 2" xfId="16357"/>
    <cellStyle name="표준 2 2 8 4 2 5" xfId="3325"/>
    <cellStyle name="표준 2 2 8 4 2 5 2" xfId="14603"/>
    <cellStyle name="표준 2 2 8 4 2 6" xfId="13143"/>
    <cellStyle name="표준 2 2 8 4 3" xfId="1331"/>
    <cellStyle name="표준 2 2 8 4 3 2" xfId="8995"/>
    <cellStyle name="표준 2 2 8 4 3 2 2" xfId="20243"/>
    <cellStyle name="표준 2 2 8 4 3 3" xfId="2952"/>
    <cellStyle name="표준 2 2 8 4 3 3 2" xfId="14230"/>
    <cellStyle name="표준 2 2 8 4 3 4" xfId="12770"/>
    <cellStyle name="표준 2 2 8 4 4" xfId="6557"/>
    <cellStyle name="표준 2 2 8 4 4 2" xfId="17805"/>
    <cellStyle name="표준 2 2 8 4 5" xfId="4116"/>
    <cellStyle name="표준 2 2 8 4 5 2" xfId="15367"/>
    <cellStyle name="표준 2 2 8 4 6" xfId="2047"/>
    <cellStyle name="표준 2 2 8 4 6 2" xfId="13474"/>
    <cellStyle name="표준 2 2 8 4 7" xfId="12014"/>
    <cellStyle name="표준 2 2 8 5" xfId="768"/>
    <cellStyle name="표준 2 2 8 5 2" xfId="1421"/>
    <cellStyle name="표준 2 2 8 5 2 2" xfId="10392"/>
    <cellStyle name="표준 2 2 8 5 2 2 2" xfId="21640"/>
    <cellStyle name="표준 2 2 8 5 2 3" xfId="7954"/>
    <cellStyle name="표준 2 2 8 5 2 3 2" xfId="19202"/>
    <cellStyle name="표준 2 2 8 5 2 4" xfId="5515"/>
    <cellStyle name="표준 2 2 8 5 2 4 2" xfId="16764"/>
    <cellStyle name="표준 2 2 8 5 2 5" xfId="3035"/>
    <cellStyle name="표준 2 2 8 5 2 5 2" xfId="14313"/>
    <cellStyle name="표준 2 2 8 5 2 6" xfId="12853"/>
    <cellStyle name="표준 2 2 8 5 3" xfId="9402"/>
    <cellStyle name="표준 2 2 8 5 3 2" xfId="20650"/>
    <cellStyle name="표준 2 2 8 5 4" xfId="6964"/>
    <cellStyle name="표준 2 2 8 5 4 2" xfId="18212"/>
    <cellStyle name="표준 2 2 8 5 5" xfId="4525"/>
    <cellStyle name="표준 2 2 8 5 5 2" xfId="15774"/>
    <cellStyle name="표준 2 2 8 5 6" xfId="2395"/>
    <cellStyle name="표준 2 2 8 5 6 2" xfId="13790"/>
    <cellStyle name="표준 2 2 8 5 7" xfId="12330"/>
    <cellStyle name="표준 2 2 8 6" xfId="1078"/>
    <cellStyle name="표준 2 2 8 6 2" xfId="9533"/>
    <cellStyle name="표준 2 2 8 6 2 2" xfId="20781"/>
    <cellStyle name="표준 2 2 8 6 3" xfId="7095"/>
    <cellStyle name="표준 2 2 8 6 3 2" xfId="18343"/>
    <cellStyle name="표준 2 2 8 6 4" xfId="4656"/>
    <cellStyle name="표준 2 2 8 6 4 2" xfId="15905"/>
    <cellStyle name="표준 2 2 8 6 5" xfId="2699"/>
    <cellStyle name="표준 2 2 8 6 5 2" xfId="13977"/>
    <cellStyle name="표준 2 2 8 6 6" xfId="12517"/>
    <cellStyle name="표준 2 2 8 7" xfId="1014"/>
    <cellStyle name="표준 2 2 8 7 2" xfId="10476"/>
    <cellStyle name="표준 2 2 8 7 2 2" xfId="21724"/>
    <cellStyle name="표준 2 2 8 7 3" xfId="8038"/>
    <cellStyle name="표준 2 2 8 7 3 2" xfId="19286"/>
    <cellStyle name="표준 2 2 8 7 4" xfId="5599"/>
    <cellStyle name="표준 2 2 8 7 4 2" xfId="16848"/>
    <cellStyle name="표준 2 2 8 7 5" xfId="2635"/>
    <cellStyle name="표준 2 2 8 7 5 2" xfId="13913"/>
    <cellStyle name="표준 2 2 8 7 6" xfId="12453"/>
    <cellStyle name="표준 2 2 8 8" xfId="5705"/>
    <cellStyle name="표준 2 2 8 8 2" xfId="10582"/>
    <cellStyle name="표준 2 2 8 8 2 2" xfId="21830"/>
    <cellStyle name="표준 2 2 8 8 3" xfId="8144"/>
    <cellStyle name="표준 2 2 8 8 3 2" xfId="19392"/>
    <cellStyle name="표준 2 2 8 8 4" xfId="16954"/>
    <cellStyle name="표준 2 2 8 9" xfId="5788"/>
    <cellStyle name="표준 2 2 8 9 2" xfId="10665"/>
    <cellStyle name="표준 2 2 8 9 2 2" xfId="21913"/>
    <cellStyle name="표준 2 2 8 9 3" xfId="8227"/>
    <cellStyle name="표준 2 2 8 9 3 2" xfId="19475"/>
    <cellStyle name="표준 2 2 8 9 4" xfId="17037"/>
    <cellStyle name="표준 2 2 9" xfId="96"/>
    <cellStyle name="표준 2 2 9 10" xfId="3576"/>
    <cellStyle name="표준 2 2 9 10 2" xfId="8475"/>
    <cellStyle name="표준 2 2 9 10 2 2" xfId="19723"/>
    <cellStyle name="표준 2 2 9 10 3" xfId="6037"/>
    <cellStyle name="표준 2 2 9 10 3 2" xfId="17285"/>
    <cellStyle name="표준 2 2 9 10 4" xfId="14847"/>
    <cellStyle name="표준 2 2 9 11" xfId="8296"/>
    <cellStyle name="표준 2 2 9 11 2" xfId="19544"/>
    <cellStyle name="표준 2 2 9 12" xfId="5858"/>
    <cellStyle name="표준 2 2 9 12 2" xfId="17106"/>
    <cellStyle name="표준 2 2 9 13" xfId="10742"/>
    <cellStyle name="표준 2 2 9 13 2" xfId="21990"/>
    <cellStyle name="표준 2 2 9 14" xfId="3390"/>
    <cellStyle name="표준 2 2 9 14 2" xfId="14668"/>
    <cellStyle name="표준 2 2 9 15" xfId="1812"/>
    <cellStyle name="표준 2 2 9 15 2" xfId="13241"/>
    <cellStyle name="표준 2 2 9 16" xfId="11781"/>
    <cellStyle name="표준 2 2 9 2" xfId="252"/>
    <cellStyle name="표준 2 2 9 2 10" xfId="1924"/>
    <cellStyle name="표준 2 2 9 2 10 2" xfId="13351"/>
    <cellStyle name="표준 2 2 9 2 11" xfId="11891"/>
    <cellStyle name="표준 2 2 9 2 2" xfId="536"/>
    <cellStyle name="표준 2 2 9 2 2 2" xfId="1624"/>
    <cellStyle name="표준 2 2 9 2 2 2 2" xfId="5406"/>
    <cellStyle name="표준 2 2 9 2 2 2 2 2" xfId="10283"/>
    <cellStyle name="표준 2 2 9 2 2 2 2 2 2" xfId="21531"/>
    <cellStyle name="표준 2 2 9 2 2 2 2 3" xfId="7845"/>
    <cellStyle name="표준 2 2 9 2 2 2 2 3 2" xfId="19093"/>
    <cellStyle name="표준 2 2 9 2 2 2 2 4" xfId="16655"/>
    <cellStyle name="표준 2 2 9 2 2 2 3" xfId="9293"/>
    <cellStyle name="표준 2 2 9 2 2 2 3 2" xfId="20541"/>
    <cellStyle name="표준 2 2 9 2 2 2 4" xfId="6855"/>
    <cellStyle name="표준 2 2 9 2 2 2 4 2" xfId="18103"/>
    <cellStyle name="표준 2 2 9 2 2 2 5" xfId="4414"/>
    <cellStyle name="표준 2 2 9 2 2 2 5 2" xfId="15665"/>
    <cellStyle name="표준 2 2 9 2 2 2 6" xfId="3236"/>
    <cellStyle name="표준 2 2 9 2 2 2 6 2" xfId="14514"/>
    <cellStyle name="표준 2 2 9 2 2 2 7" xfId="13054"/>
    <cellStyle name="표준 2 2 9 2 2 3" xfId="4953"/>
    <cellStyle name="표준 2 2 9 2 2 3 2" xfId="9830"/>
    <cellStyle name="표준 2 2 9 2 2 3 2 2" xfId="21078"/>
    <cellStyle name="표준 2 2 9 2 2 3 3" xfId="7392"/>
    <cellStyle name="표준 2 2 9 2 2 3 3 2" xfId="18640"/>
    <cellStyle name="표준 2 2 9 2 2 3 4" xfId="16202"/>
    <cellStyle name="표준 2 2 9 2 2 4" xfId="8840"/>
    <cellStyle name="표준 2 2 9 2 2 4 2" xfId="20088"/>
    <cellStyle name="표준 2 2 9 2 2 5" xfId="6402"/>
    <cellStyle name="표준 2 2 9 2 2 5 2" xfId="17650"/>
    <cellStyle name="표준 2 2 9 2 2 6" xfId="11010"/>
    <cellStyle name="표준 2 2 9 2 2 6 2" xfId="22257"/>
    <cellStyle name="표준 2 2 9 2 2 7" xfId="3961"/>
    <cellStyle name="표준 2 2 9 2 2 7 2" xfId="15212"/>
    <cellStyle name="표준 2 2 9 2 2 8" xfId="2208"/>
    <cellStyle name="표준 2 2 9 2 2 8 2" xfId="13635"/>
    <cellStyle name="표준 2 2 9 2 2 9" xfId="12175"/>
    <cellStyle name="표준 2 2 9 2 3" xfId="1239"/>
    <cellStyle name="표준 2 2 9 2 3 2" xfId="5179"/>
    <cellStyle name="표준 2 2 9 2 3 2 2" xfId="10056"/>
    <cellStyle name="표준 2 2 9 2 3 2 2 2" xfId="21304"/>
    <cellStyle name="표준 2 2 9 2 3 2 3" xfId="7618"/>
    <cellStyle name="표준 2 2 9 2 3 2 3 2" xfId="18866"/>
    <cellStyle name="표준 2 2 9 2 3 2 4" xfId="16428"/>
    <cellStyle name="표준 2 2 9 2 3 3" xfId="9066"/>
    <cellStyle name="표준 2 2 9 2 3 3 2" xfId="20314"/>
    <cellStyle name="표준 2 2 9 2 3 4" xfId="6628"/>
    <cellStyle name="표준 2 2 9 2 3 4 2" xfId="17876"/>
    <cellStyle name="표준 2 2 9 2 3 5" xfId="4187"/>
    <cellStyle name="표준 2 2 9 2 3 5 2" xfId="15438"/>
    <cellStyle name="표준 2 2 9 2 3 6" xfId="2860"/>
    <cellStyle name="표준 2 2 9 2 3 6 2" xfId="14138"/>
    <cellStyle name="표준 2 2 9 2 3 7" xfId="12678"/>
    <cellStyle name="표준 2 2 9 2 4" xfId="4727"/>
    <cellStyle name="표준 2 2 9 2 4 2" xfId="9604"/>
    <cellStyle name="표준 2 2 9 2 4 2 2" xfId="20852"/>
    <cellStyle name="표준 2 2 9 2 4 3" xfId="7166"/>
    <cellStyle name="표준 2 2 9 2 4 3 2" xfId="18414"/>
    <cellStyle name="표준 2 2 9 2 4 4" xfId="15976"/>
    <cellStyle name="표준 2 2 9 2 5" xfId="3735"/>
    <cellStyle name="표준 2 2 9 2 5 2" xfId="8614"/>
    <cellStyle name="표준 2 2 9 2 5 2 2" xfId="19862"/>
    <cellStyle name="표준 2 2 9 2 5 3" xfId="6176"/>
    <cellStyle name="표준 2 2 9 2 5 3 2" xfId="17424"/>
    <cellStyle name="표준 2 2 9 2 5 4" xfId="14986"/>
    <cellStyle name="표준 2 2 9 2 6" xfId="8379"/>
    <cellStyle name="표준 2 2 9 2 6 2" xfId="19627"/>
    <cellStyle name="표준 2 2 9 2 7" xfId="5941"/>
    <cellStyle name="표준 2 2 9 2 7 2" xfId="17189"/>
    <cellStyle name="표준 2 2 9 2 8" xfId="10825"/>
    <cellStyle name="표준 2 2 9 2 8 2" xfId="22073"/>
    <cellStyle name="표준 2 2 9 2 9" xfId="3479"/>
    <cellStyle name="표준 2 2 9 2 9 2" xfId="14751"/>
    <cellStyle name="표준 2 2 9 3" xfId="426"/>
    <cellStyle name="표준 2 2 9 3 2" xfId="1698"/>
    <cellStyle name="표준 2 2 9 3 2 2" xfId="5320"/>
    <cellStyle name="표준 2 2 9 3 2 2 2" xfId="10197"/>
    <cellStyle name="표준 2 2 9 3 2 2 2 2" xfId="21445"/>
    <cellStyle name="표준 2 2 9 3 2 2 3" xfId="7759"/>
    <cellStyle name="표준 2 2 9 3 2 2 3 2" xfId="19007"/>
    <cellStyle name="표준 2 2 9 3 2 2 4" xfId="16569"/>
    <cellStyle name="표준 2 2 9 3 2 3" xfId="9207"/>
    <cellStyle name="표준 2 2 9 3 2 3 2" xfId="20455"/>
    <cellStyle name="표준 2 2 9 3 2 4" xfId="6769"/>
    <cellStyle name="표준 2 2 9 3 2 4 2" xfId="18017"/>
    <cellStyle name="표준 2 2 9 3 2 5" xfId="4328"/>
    <cellStyle name="표준 2 2 9 3 2 5 2" xfId="15579"/>
    <cellStyle name="표준 2 2 9 3 2 6" xfId="3310"/>
    <cellStyle name="표준 2 2 9 3 2 6 2" xfId="14588"/>
    <cellStyle name="표준 2 2 9 3 2 7" xfId="13128"/>
    <cellStyle name="표준 2 2 9 3 3" xfId="1316"/>
    <cellStyle name="표준 2 2 9 3 3 2" xfId="9744"/>
    <cellStyle name="표준 2 2 9 3 3 2 2" xfId="20992"/>
    <cellStyle name="표준 2 2 9 3 3 3" xfId="7306"/>
    <cellStyle name="표준 2 2 9 3 3 3 2" xfId="18554"/>
    <cellStyle name="표준 2 2 9 3 3 4" xfId="4867"/>
    <cellStyle name="표준 2 2 9 3 3 4 2" xfId="16116"/>
    <cellStyle name="표준 2 2 9 3 3 5" xfId="2937"/>
    <cellStyle name="표준 2 2 9 3 3 5 2" xfId="14215"/>
    <cellStyle name="표준 2 2 9 3 3 6" xfId="12755"/>
    <cellStyle name="표준 2 2 9 3 4" xfId="8754"/>
    <cellStyle name="표준 2 2 9 3 4 2" xfId="20002"/>
    <cellStyle name="표준 2 2 9 3 5" xfId="6316"/>
    <cellStyle name="표준 2 2 9 3 5 2" xfId="17564"/>
    <cellStyle name="표준 2 2 9 3 6" xfId="10927"/>
    <cellStyle name="표준 2 2 9 3 6 2" xfId="22174"/>
    <cellStyle name="표준 2 2 9 3 7" xfId="3875"/>
    <cellStyle name="표준 2 2 9 3 7 2" xfId="15126"/>
    <cellStyle name="표준 2 2 9 3 8" xfId="2098"/>
    <cellStyle name="표준 2 2 9 3 8 2" xfId="13525"/>
    <cellStyle name="표준 2 2 9 3 9" xfId="12065"/>
    <cellStyle name="표준 2 2 9 4" xfId="753"/>
    <cellStyle name="표준 2 2 9 4 2" xfId="1406"/>
    <cellStyle name="표준 2 2 9 4 2 2" xfId="9970"/>
    <cellStyle name="표준 2 2 9 4 2 2 2" xfId="21218"/>
    <cellStyle name="표준 2 2 9 4 2 3" xfId="7532"/>
    <cellStyle name="표준 2 2 9 4 2 3 2" xfId="18780"/>
    <cellStyle name="표준 2 2 9 4 2 4" xfId="5093"/>
    <cellStyle name="표준 2 2 9 4 2 4 2" xfId="16342"/>
    <cellStyle name="표준 2 2 9 4 2 5" xfId="3020"/>
    <cellStyle name="표준 2 2 9 4 2 5 2" xfId="14298"/>
    <cellStyle name="표준 2 2 9 4 2 6" xfId="12838"/>
    <cellStyle name="표준 2 2 9 4 3" xfId="8980"/>
    <cellStyle name="표준 2 2 9 4 3 2" xfId="20228"/>
    <cellStyle name="표준 2 2 9 4 4" xfId="6542"/>
    <cellStyle name="표준 2 2 9 4 4 2" xfId="17790"/>
    <cellStyle name="표준 2 2 9 4 5" xfId="4101"/>
    <cellStyle name="표준 2 2 9 4 5 2" xfId="15352"/>
    <cellStyle name="표준 2 2 9 4 6" xfId="2380"/>
    <cellStyle name="표준 2 2 9 4 6 2" xfId="13775"/>
    <cellStyle name="표준 2 2 9 4 7" xfId="12315"/>
    <cellStyle name="표준 2 2 9 5" xfId="1129"/>
    <cellStyle name="표준 2 2 9 5 2" xfId="5500"/>
    <cellStyle name="표준 2 2 9 5 2 2" xfId="10377"/>
    <cellStyle name="표준 2 2 9 5 2 2 2" xfId="21625"/>
    <cellStyle name="표준 2 2 9 5 2 3" xfId="7939"/>
    <cellStyle name="표준 2 2 9 5 2 3 2" xfId="19187"/>
    <cellStyle name="표준 2 2 9 5 2 4" xfId="16749"/>
    <cellStyle name="표준 2 2 9 5 3" xfId="9387"/>
    <cellStyle name="표준 2 2 9 5 3 2" xfId="20635"/>
    <cellStyle name="표준 2 2 9 5 4" xfId="6949"/>
    <cellStyle name="표준 2 2 9 5 4 2" xfId="18197"/>
    <cellStyle name="표준 2 2 9 5 5" xfId="4510"/>
    <cellStyle name="표준 2 2 9 5 5 2" xfId="15759"/>
    <cellStyle name="표준 2 2 9 5 6" xfId="2750"/>
    <cellStyle name="표준 2 2 9 5 6 2" xfId="14028"/>
    <cellStyle name="표준 2 2 9 5 7" xfId="12568"/>
    <cellStyle name="표준 2 2 9 6" xfId="955"/>
    <cellStyle name="표준 2 2 9 6 2" xfId="9518"/>
    <cellStyle name="표준 2 2 9 6 2 2" xfId="20766"/>
    <cellStyle name="표준 2 2 9 6 3" xfId="7080"/>
    <cellStyle name="표준 2 2 9 6 3 2" xfId="18328"/>
    <cellStyle name="표준 2 2 9 6 4" xfId="4641"/>
    <cellStyle name="표준 2 2 9 6 4 2" xfId="15890"/>
    <cellStyle name="표준 2 2 9 6 5" xfId="2577"/>
    <cellStyle name="표준 2 2 9 6 5 2" xfId="13855"/>
    <cellStyle name="표준 2 2 9 6 6" xfId="12395"/>
    <cellStyle name="표준 2 2 9 7" xfId="5584"/>
    <cellStyle name="표준 2 2 9 7 2" xfId="10461"/>
    <cellStyle name="표준 2 2 9 7 2 2" xfId="21709"/>
    <cellStyle name="표준 2 2 9 7 3" xfId="8023"/>
    <cellStyle name="표준 2 2 9 7 3 2" xfId="19271"/>
    <cellStyle name="표준 2 2 9 7 4" xfId="16833"/>
    <cellStyle name="표준 2 2 9 8" xfId="5690"/>
    <cellStyle name="표준 2 2 9 8 2" xfId="10567"/>
    <cellStyle name="표준 2 2 9 8 2 2" xfId="21815"/>
    <cellStyle name="표준 2 2 9 8 3" xfId="8129"/>
    <cellStyle name="표준 2 2 9 8 3 2" xfId="19377"/>
    <cellStyle name="표준 2 2 9 8 4" xfId="16939"/>
    <cellStyle name="표준 2 2 9 9" xfId="5773"/>
    <cellStyle name="표준 2 2 9 9 2" xfId="10650"/>
    <cellStyle name="표준 2 2 9 9 2 2" xfId="21898"/>
    <cellStyle name="표준 2 2 9 9 3" xfId="8212"/>
    <cellStyle name="표준 2 2 9 9 3 2" xfId="19460"/>
    <cellStyle name="표준 2 2 9 9 4" xfId="17022"/>
    <cellStyle name="표준 2 20" xfId="4578"/>
    <cellStyle name="표준 2 20 2" xfId="9455"/>
    <cellStyle name="표준 2 20 2 2" xfId="20703"/>
    <cellStyle name="표준 2 20 3" xfId="7017"/>
    <cellStyle name="표준 2 20 3 2" xfId="18265"/>
    <cellStyle name="표준 2 20 4" xfId="15827"/>
    <cellStyle name="표준 2 21" xfId="5569"/>
    <cellStyle name="표준 2 21 2" xfId="10446"/>
    <cellStyle name="표준 2 21 2 2" xfId="21694"/>
    <cellStyle name="표준 2 21 3" xfId="8008"/>
    <cellStyle name="표준 2 21 3 2" xfId="19256"/>
    <cellStyle name="표준 2 21 4" xfId="16818"/>
    <cellStyle name="표준 2 22" xfId="5653"/>
    <cellStyle name="표준 2 22 2" xfId="10530"/>
    <cellStyle name="표준 2 22 2 2" xfId="21778"/>
    <cellStyle name="표준 2 22 3" xfId="8092"/>
    <cellStyle name="표준 2 22 3 2" xfId="19340"/>
    <cellStyle name="표준 2 22 4" xfId="16902"/>
    <cellStyle name="표준 2 23" xfId="5675"/>
    <cellStyle name="표준 2 23 2" xfId="10552"/>
    <cellStyle name="표준 2 23 2 2" xfId="21800"/>
    <cellStyle name="표준 2 23 3" xfId="8114"/>
    <cellStyle name="표준 2 23 3 2" xfId="19362"/>
    <cellStyle name="표준 2 23 4" xfId="16924"/>
    <cellStyle name="표준 2 24" xfId="5758"/>
    <cellStyle name="표준 2 24 2" xfId="10635"/>
    <cellStyle name="표준 2 24 2 2" xfId="21883"/>
    <cellStyle name="표준 2 24 3" xfId="8197"/>
    <cellStyle name="표준 2 24 3 2" xfId="19445"/>
    <cellStyle name="표준 2 24 4" xfId="17007"/>
    <cellStyle name="표준 2 25" xfId="3557"/>
    <cellStyle name="표준 2 25 2" xfId="8456"/>
    <cellStyle name="표준 2 25 2 2" xfId="19704"/>
    <cellStyle name="표준 2 25 3" xfId="6018"/>
    <cellStyle name="표준 2 25 3 2" xfId="17266"/>
    <cellStyle name="표준 2 25 4" xfId="14828"/>
    <cellStyle name="표준 2 26" xfId="8281"/>
    <cellStyle name="표준 2 26 2" xfId="19529"/>
    <cellStyle name="표준 2 27" xfId="5843"/>
    <cellStyle name="표준 2 27 2" xfId="17091"/>
    <cellStyle name="표준 2 28" xfId="10719"/>
    <cellStyle name="표준 2 28 2" xfId="21967"/>
    <cellStyle name="표준 2 29" xfId="3375"/>
    <cellStyle name="표준 2 29 2" xfId="14653"/>
    <cellStyle name="표준 2 3" xfId="49"/>
    <cellStyle name="표준 2 3 10" xfId="205"/>
    <cellStyle name="표준 2 3 10 10" xfId="3640"/>
    <cellStyle name="표준 2 3 10 10 2" xfId="8539"/>
    <cellStyle name="표준 2 3 10 10 2 2" xfId="19787"/>
    <cellStyle name="표준 2 3 10 10 3" xfId="6101"/>
    <cellStyle name="표준 2 3 10 10 3 2" xfId="17349"/>
    <cellStyle name="표준 2 3 10 10 4" xfId="14911"/>
    <cellStyle name="표준 2 3 10 11" xfId="8360"/>
    <cellStyle name="표준 2 3 10 11 2" xfId="19608"/>
    <cellStyle name="표준 2 3 10 12" xfId="5922"/>
    <cellStyle name="표준 2 3 10 12 2" xfId="17170"/>
    <cellStyle name="표준 2 3 10 13" xfId="10806"/>
    <cellStyle name="표준 2 3 10 13 2" xfId="22054"/>
    <cellStyle name="표준 2 3 10 14" xfId="3460"/>
    <cellStyle name="표준 2 3 10 14 2" xfId="14732"/>
    <cellStyle name="표준 2 3 10 15" xfId="1877"/>
    <cellStyle name="표준 2 3 10 15 2" xfId="13304"/>
    <cellStyle name="표준 2 3 10 16" xfId="11844"/>
    <cellStyle name="표준 2 3 10 2" xfId="489"/>
    <cellStyle name="표준 2 3 10 2 10" xfId="2161"/>
    <cellStyle name="표준 2 3 10 2 10 2" xfId="13588"/>
    <cellStyle name="표준 2 3 10 2 11" xfId="12128"/>
    <cellStyle name="표준 2 3 10 2 2" xfId="1761"/>
    <cellStyle name="표준 2 3 10 2 2 2" xfId="4478"/>
    <cellStyle name="표준 2 3 10 2 2 2 2" xfId="5470"/>
    <cellStyle name="표준 2 3 10 2 2 2 2 2" xfId="10347"/>
    <cellStyle name="표준 2 3 10 2 2 2 2 2 2" xfId="21595"/>
    <cellStyle name="표준 2 3 10 2 2 2 2 3" xfId="7909"/>
    <cellStyle name="표준 2 3 10 2 2 2 2 3 2" xfId="19157"/>
    <cellStyle name="표준 2 3 10 2 2 2 2 4" xfId="16719"/>
    <cellStyle name="표준 2 3 10 2 2 2 3" xfId="9357"/>
    <cellStyle name="표준 2 3 10 2 2 2 3 2" xfId="20605"/>
    <cellStyle name="표준 2 3 10 2 2 2 4" xfId="6919"/>
    <cellStyle name="표준 2 3 10 2 2 2 4 2" xfId="18167"/>
    <cellStyle name="표준 2 3 10 2 2 2 5" xfId="15729"/>
    <cellStyle name="표준 2 3 10 2 2 3" xfId="5017"/>
    <cellStyle name="표준 2 3 10 2 2 3 2" xfId="9894"/>
    <cellStyle name="표준 2 3 10 2 2 3 2 2" xfId="21142"/>
    <cellStyle name="표준 2 3 10 2 2 3 3" xfId="7456"/>
    <cellStyle name="표준 2 3 10 2 2 3 3 2" xfId="18704"/>
    <cellStyle name="표준 2 3 10 2 2 3 4" xfId="16266"/>
    <cellStyle name="표준 2 3 10 2 2 4" xfId="8904"/>
    <cellStyle name="표준 2 3 10 2 2 4 2" xfId="20152"/>
    <cellStyle name="표준 2 3 10 2 2 5" xfId="6466"/>
    <cellStyle name="표준 2 3 10 2 2 5 2" xfId="17714"/>
    <cellStyle name="표준 2 3 10 2 2 6" xfId="11074"/>
    <cellStyle name="표준 2 3 10 2 2 6 2" xfId="22321"/>
    <cellStyle name="표준 2 3 10 2 2 7" xfId="4025"/>
    <cellStyle name="표준 2 3 10 2 2 7 2" xfId="15276"/>
    <cellStyle name="표준 2 3 10 2 2 8" xfId="3373"/>
    <cellStyle name="표준 2 3 10 2 2 8 2" xfId="14651"/>
    <cellStyle name="표준 2 3 10 2 2 9" xfId="13191"/>
    <cellStyle name="표준 2 3 10 2 3" xfId="1380"/>
    <cellStyle name="표준 2 3 10 2 3 2" xfId="5243"/>
    <cellStyle name="표준 2 3 10 2 3 2 2" xfId="10120"/>
    <cellStyle name="표준 2 3 10 2 3 2 2 2" xfId="21368"/>
    <cellStyle name="표준 2 3 10 2 3 2 3" xfId="7682"/>
    <cellStyle name="표준 2 3 10 2 3 2 3 2" xfId="18930"/>
    <cellStyle name="표준 2 3 10 2 3 2 4" xfId="16492"/>
    <cellStyle name="표준 2 3 10 2 3 3" xfId="9130"/>
    <cellStyle name="표준 2 3 10 2 3 3 2" xfId="20378"/>
    <cellStyle name="표준 2 3 10 2 3 4" xfId="6692"/>
    <cellStyle name="표준 2 3 10 2 3 4 2" xfId="17940"/>
    <cellStyle name="표준 2 3 10 2 3 5" xfId="4251"/>
    <cellStyle name="표준 2 3 10 2 3 5 2" xfId="15502"/>
    <cellStyle name="표준 2 3 10 2 3 6" xfId="3001"/>
    <cellStyle name="표준 2 3 10 2 3 6 2" xfId="14279"/>
    <cellStyle name="표준 2 3 10 2 3 7" xfId="12819"/>
    <cellStyle name="표준 2 3 10 2 4" xfId="4791"/>
    <cellStyle name="표준 2 3 10 2 4 2" xfId="9668"/>
    <cellStyle name="표준 2 3 10 2 4 2 2" xfId="20916"/>
    <cellStyle name="표준 2 3 10 2 4 3" xfId="7230"/>
    <cellStyle name="표준 2 3 10 2 4 3 2" xfId="18478"/>
    <cellStyle name="표준 2 3 10 2 4 4" xfId="16040"/>
    <cellStyle name="표준 2 3 10 2 5" xfId="3799"/>
    <cellStyle name="표준 2 3 10 2 5 2" xfId="8678"/>
    <cellStyle name="표준 2 3 10 2 5 2 2" xfId="19926"/>
    <cellStyle name="표준 2 3 10 2 5 3" xfId="6240"/>
    <cellStyle name="표준 2 3 10 2 5 3 2" xfId="17488"/>
    <cellStyle name="표준 2 3 10 2 5 4" xfId="15050"/>
    <cellStyle name="표준 2 3 10 2 6" xfId="8443"/>
    <cellStyle name="표준 2 3 10 2 6 2" xfId="19691"/>
    <cellStyle name="표준 2 3 10 2 7" xfId="6005"/>
    <cellStyle name="표준 2 3 10 2 7 2" xfId="17253"/>
    <cellStyle name="표준 2 3 10 2 8" xfId="10889"/>
    <cellStyle name="표준 2 3 10 2 8 2" xfId="22137"/>
    <cellStyle name="표준 2 3 10 2 9" xfId="3543"/>
    <cellStyle name="표준 2 3 10 2 9 2" xfId="14815"/>
    <cellStyle name="표준 2 3 10 3" xfId="826"/>
    <cellStyle name="표준 2 3 10 3 2" xfId="1472"/>
    <cellStyle name="표준 2 3 10 3 2 2" xfId="5384"/>
    <cellStyle name="표준 2 3 10 3 2 2 2" xfId="10261"/>
    <cellStyle name="표준 2 3 10 3 2 2 2 2" xfId="21509"/>
    <cellStyle name="표준 2 3 10 3 2 2 3" xfId="7823"/>
    <cellStyle name="표준 2 3 10 3 2 2 3 2" xfId="19071"/>
    <cellStyle name="표준 2 3 10 3 2 2 4" xfId="16633"/>
    <cellStyle name="표준 2 3 10 3 2 3" xfId="9271"/>
    <cellStyle name="표준 2 3 10 3 2 3 2" xfId="20519"/>
    <cellStyle name="표준 2 3 10 3 2 4" xfId="6833"/>
    <cellStyle name="표준 2 3 10 3 2 4 2" xfId="18081"/>
    <cellStyle name="표준 2 3 10 3 2 5" xfId="4392"/>
    <cellStyle name="표준 2 3 10 3 2 5 2" xfId="15643"/>
    <cellStyle name="표준 2 3 10 3 2 6" xfId="3084"/>
    <cellStyle name="표준 2 3 10 3 2 6 2" xfId="14362"/>
    <cellStyle name="표준 2 3 10 3 2 7" xfId="12902"/>
    <cellStyle name="표준 2 3 10 3 3" xfId="4931"/>
    <cellStyle name="표준 2 3 10 3 3 2" xfId="9808"/>
    <cellStyle name="표준 2 3 10 3 3 2 2" xfId="21056"/>
    <cellStyle name="표준 2 3 10 3 3 3" xfId="7370"/>
    <cellStyle name="표준 2 3 10 3 3 3 2" xfId="18618"/>
    <cellStyle name="표준 2 3 10 3 3 4" xfId="16180"/>
    <cellStyle name="표준 2 3 10 3 4" xfId="8818"/>
    <cellStyle name="표준 2 3 10 3 4 2" xfId="20066"/>
    <cellStyle name="표준 2 3 10 3 5" xfId="6380"/>
    <cellStyle name="표준 2 3 10 3 5 2" xfId="17628"/>
    <cellStyle name="표준 2 3 10 3 6" xfId="10991"/>
    <cellStyle name="표준 2 3 10 3 6 2" xfId="22238"/>
    <cellStyle name="표준 2 3 10 3 7" xfId="3939"/>
    <cellStyle name="표준 2 3 10 3 7 2" xfId="15190"/>
    <cellStyle name="표준 2 3 10 3 8" xfId="2450"/>
    <cellStyle name="표준 2 3 10 3 8 2" xfId="13839"/>
    <cellStyle name="표준 2 3 10 3 9" xfId="12379"/>
    <cellStyle name="표준 2 3 10 4" xfId="1192"/>
    <cellStyle name="표준 2 3 10 4 2" xfId="5157"/>
    <cellStyle name="표준 2 3 10 4 2 2" xfId="10034"/>
    <cellStyle name="표준 2 3 10 4 2 2 2" xfId="21282"/>
    <cellStyle name="표준 2 3 10 4 2 3" xfId="7596"/>
    <cellStyle name="표준 2 3 10 4 2 3 2" xfId="18844"/>
    <cellStyle name="표준 2 3 10 4 2 4" xfId="16406"/>
    <cellStyle name="표준 2 3 10 4 3" xfId="9044"/>
    <cellStyle name="표준 2 3 10 4 3 2" xfId="20292"/>
    <cellStyle name="표준 2 3 10 4 4" xfId="6606"/>
    <cellStyle name="표준 2 3 10 4 4 2" xfId="17854"/>
    <cellStyle name="표준 2 3 10 4 5" xfId="4165"/>
    <cellStyle name="표준 2 3 10 4 5 2" xfId="15416"/>
    <cellStyle name="표준 2 3 10 4 6" xfId="2813"/>
    <cellStyle name="표준 2 3 10 4 6 2" xfId="14091"/>
    <cellStyle name="표준 2 3 10 4 7" xfId="12631"/>
    <cellStyle name="표준 2 3 10 5" xfId="4574"/>
    <cellStyle name="표준 2 3 10 5 2" xfId="5564"/>
    <cellStyle name="표준 2 3 10 5 2 2" xfId="10441"/>
    <cellStyle name="표준 2 3 10 5 2 2 2" xfId="21689"/>
    <cellStyle name="표준 2 3 10 5 2 3" xfId="8003"/>
    <cellStyle name="표준 2 3 10 5 2 3 2" xfId="19251"/>
    <cellStyle name="표준 2 3 10 5 2 4" xfId="16813"/>
    <cellStyle name="표준 2 3 10 5 3" xfId="9451"/>
    <cellStyle name="표준 2 3 10 5 3 2" xfId="20699"/>
    <cellStyle name="표준 2 3 10 5 4" xfId="7013"/>
    <cellStyle name="표준 2 3 10 5 4 2" xfId="18261"/>
    <cellStyle name="표준 2 3 10 5 5" xfId="15823"/>
    <cellStyle name="표준 2 3 10 6" xfId="4705"/>
    <cellStyle name="표준 2 3 10 6 2" xfId="9582"/>
    <cellStyle name="표준 2 3 10 6 2 2" xfId="20830"/>
    <cellStyle name="표준 2 3 10 6 3" xfId="7144"/>
    <cellStyle name="표준 2 3 10 6 3 2" xfId="18392"/>
    <cellStyle name="표준 2 3 10 6 4" xfId="15954"/>
    <cellStyle name="표준 2 3 10 7" xfId="5648"/>
    <cellStyle name="표준 2 3 10 7 2" xfId="10525"/>
    <cellStyle name="표준 2 3 10 7 2 2" xfId="21773"/>
    <cellStyle name="표준 2 3 10 7 3" xfId="8087"/>
    <cellStyle name="표준 2 3 10 7 3 2" xfId="19335"/>
    <cellStyle name="표준 2 3 10 7 4" xfId="16897"/>
    <cellStyle name="표준 2 3 10 8" xfId="5754"/>
    <cellStyle name="표준 2 3 10 8 2" xfId="10631"/>
    <cellStyle name="표준 2 3 10 8 2 2" xfId="21879"/>
    <cellStyle name="표준 2 3 10 8 3" xfId="8193"/>
    <cellStyle name="표준 2 3 10 8 3 2" xfId="19441"/>
    <cellStyle name="표준 2 3 10 8 4" xfId="17003"/>
    <cellStyle name="표준 2 3 10 9" xfId="5837"/>
    <cellStyle name="표준 2 3 10 9 2" xfId="10714"/>
    <cellStyle name="표준 2 3 10 9 2 2" xfId="21962"/>
    <cellStyle name="표준 2 3 10 9 3" xfId="8276"/>
    <cellStyle name="표준 2 3 10 9 3 2" xfId="19524"/>
    <cellStyle name="표준 2 3 10 9 4" xfId="17086"/>
    <cellStyle name="표준 2 3 11" xfId="379"/>
    <cellStyle name="표준 2 3 11 10" xfId="2051"/>
    <cellStyle name="표준 2 3 11 10 2" xfId="13478"/>
    <cellStyle name="표준 2 3 11 11" xfId="12018"/>
    <cellStyle name="표준 2 3 11 2" xfId="728"/>
    <cellStyle name="표준 2 3 11 2 2" xfId="1477"/>
    <cellStyle name="표준 2 3 11 2 2 2" xfId="5308"/>
    <cellStyle name="표준 2 3 11 2 2 2 2" xfId="10185"/>
    <cellStyle name="표준 2 3 11 2 2 2 2 2" xfId="21433"/>
    <cellStyle name="표준 2 3 11 2 2 2 3" xfId="7747"/>
    <cellStyle name="표준 2 3 11 2 2 2 3 2" xfId="18995"/>
    <cellStyle name="표준 2 3 11 2 2 2 4" xfId="16557"/>
    <cellStyle name="표준 2 3 11 2 2 3" xfId="9195"/>
    <cellStyle name="표준 2 3 11 2 2 3 2" xfId="20443"/>
    <cellStyle name="표준 2 3 11 2 2 4" xfId="6757"/>
    <cellStyle name="표준 2 3 11 2 2 4 2" xfId="18005"/>
    <cellStyle name="표준 2 3 11 2 2 5" xfId="4316"/>
    <cellStyle name="표준 2 3 11 2 2 5 2" xfId="15567"/>
    <cellStyle name="표준 2 3 11 2 2 6" xfId="3089"/>
    <cellStyle name="표준 2 3 11 2 2 6 2" xfId="14367"/>
    <cellStyle name="표준 2 3 11 2 2 7" xfId="12907"/>
    <cellStyle name="표준 2 3 11 2 3" xfId="4855"/>
    <cellStyle name="표준 2 3 11 2 3 2" xfId="9732"/>
    <cellStyle name="표준 2 3 11 2 3 2 2" xfId="20980"/>
    <cellStyle name="표준 2 3 11 2 3 3" xfId="7294"/>
    <cellStyle name="표준 2 3 11 2 3 3 2" xfId="18542"/>
    <cellStyle name="표준 2 3 11 2 3 4" xfId="16104"/>
    <cellStyle name="표준 2 3 11 2 4" xfId="8742"/>
    <cellStyle name="표준 2 3 11 2 4 2" xfId="19990"/>
    <cellStyle name="표준 2 3 11 2 5" xfId="6304"/>
    <cellStyle name="표준 2 3 11 2 5 2" xfId="17552"/>
    <cellStyle name="표준 2 3 11 2 6" xfId="10998"/>
    <cellStyle name="표준 2 3 11 2 6 2" xfId="22245"/>
    <cellStyle name="표준 2 3 11 2 7" xfId="3863"/>
    <cellStyle name="표준 2 3 11 2 7 2" xfId="15114"/>
    <cellStyle name="표준 2 3 11 2 8" xfId="2360"/>
    <cellStyle name="표준 2 3 11 2 8 2" xfId="13763"/>
    <cellStyle name="표준 2 3 11 2 9" xfId="12303"/>
    <cellStyle name="표준 2 3 11 3" xfId="1082"/>
    <cellStyle name="표준 2 3 11 3 2" xfId="5081"/>
    <cellStyle name="표준 2 3 11 3 2 2" xfId="9958"/>
    <cellStyle name="표준 2 3 11 3 2 2 2" xfId="21206"/>
    <cellStyle name="표준 2 3 11 3 2 3" xfId="7520"/>
    <cellStyle name="표준 2 3 11 3 2 3 2" xfId="18768"/>
    <cellStyle name="표준 2 3 11 3 2 4" xfId="16330"/>
    <cellStyle name="표준 2 3 11 3 3" xfId="8968"/>
    <cellStyle name="표준 2 3 11 3 3 2" xfId="20216"/>
    <cellStyle name="표준 2 3 11 3 4" xfId="6530"/>
    <cellStyle name="표준 2 3 11 3 4 2" xfId="17778"/>
    <cellStyle name="표준 2 3 11 3 5" xfId="4089"/>
    <cellStyle name="표준 2 3 11 3 5 2" xfId="15340"/>
    <cellStyle name="표준 2 3 11 3 6" xfId="2703"/>
    <cellStyle name="표준 2 3 11 3 6 2" xfId="13981"/>
    <cellStyle name="표준 2 3 11 3 7" xfId="12521"/>
    <cellStyle name="표준 2 3 11 4" xfId="4629"/>
    <cellStyle name="표준 2 3 11 4 2" xfId="9506"/>
    <cellStyle name="표준 2 3 11 4 2 2" xfId="20754"/>
    <cellStyle name="표준 2 3 11 4 3" xfId="7068"/>
    <cellStyle name="표준 2 3 11 4 3 2" xfId="18316"/>
    <cellStyle name="표준 2 3 11 4 4" xfId="15878"/>
    <cellStyle name="표준 2 3 11 5" xfId="3564"/>
    <cellStyle name="표준 2 3 11 5 2" xfId="8463"/>
    <cellStyle name="표준 2 3 11 5 2 2" xfId="19711"/>
    <cellStyle name="표준 2 3 11 5 3" xfId="6025"/>
    <cellStyle name="표준 2 3 11 5 3 2" xfId="17273"/>
    <cellStyle name="표준 2 3 11 5 4" xfId="14835"/>
    <cellStyle name="표준 2 3 11 6" xfId="8367"/>
    <cellStyle name="표준 2 3 11 6 2" xfId="19615"/>
    <cellStyle name="표준 2 3 11 7" xfId="5929"/>
    <cellStyle name="표준 2 3 11 7 2" xfId="17177"/>
    <cellStyle name="표준 2 3 11 8" xfId="10813"/>
    <cellStyle name="표준 2 3 11 8 2" xfId="22061"/>
    <cellStyle name="표준 2 3 11 9" xfId="3467"/>
    <cellStyle name="표준 2 3 11 9 2" xfId="14739"/>
    <cellStyle name="표준 2 3 12" xfId="315"/>
    <cellStyle name="표준 2 3 12 10" xfId="1987"/>
    <cellStyle name="표준 2 3 12 10 2" xfId="13414"/>
    <cellStyle name="표준 2 3 12 11" xfId="11954"/>
    <cellStyle name="표준 2 3 12 2" xfId="1689"/>
    <cellStyle name="표준 2 3 12 2 2" xfId="4400"/>
    <cellStyle name="표준 2 3 12 2 2 2" xfId="5392"/>
    <cellStyle name="표준 2 3 12 2 2 2 2" xfId="10269"/>
    <cellStyle name="표준 2 3 12 2 2 2 2 2" xfId="21517"/>
    <cellStyle name="표준 2 3 12 2 2 2 3" xfId="7831"/>
    <cellStyle name="표준 2 3 12 2 2 2 3 2" xfId="19079"/>
    <cellStyle name="표준 2 3 12 2 2 2 4" xfId="16641"/>
    <cellStyle name="표준 2 3 12 2 2 3" xfId="9279"/>
    <cellStyle name="표준 2 3 12 2 2 3 2" xfId="20527"/>
    <cellStyle name="표준 2 3 12 2 2 4" xfId="6841"/>
    <cellStyle name="표준 2 3 12 2 2 4 2" xfId="18089"/>
    <cellStyle name="표준 2 3 12 2 2 5" xfId="15651"/>
    <cellStyle name="표준 2 3 12 2 3" xfId="4939"/>
    <cellStyle name="표준 2 3 12 2 3 2" xfId="9816"/>
    <cellStyle name="표준 2 3 12 2 3 2 2" xfId="21064"/>
    <cellStyle name="표준 2 3 12 2 3 3" xfId="7378"/>
    <cellStyle name="표준 2 3 12 2 3 3 2" xfId="18626"/>
    <cellStyle name="표준 2 3 12 2 3 4" xfId="16188"/>
    <cellStyle name="표준 2 3 12 2 4" xfId="8826"/>
    <cellStyle name="표준 2 3 12 2 4 2" xfId="20074"/>
    <cellStyle name="표준 2 3 12 2 5" xfId="6388"/>
    <cellStyle name="표준 2 3 12 2 5 2" xfId="17636"/>
    <cellStyle name="표준 2 3 12 2 6" xfId="11080"/>
    <cellStyle name="표준 2 3 12 2 6 2" xfId="22327"/>
    <cellStyle name="표준 2 3 12 2 7" xfId="3947"/>
    <cellStyle name="표준 2 3 12 2 7 2" xfId="15198"/>
    <cellStyle name="표준 2 3 12 2 8" xfId="3301"/>
    <cellStyle name="표준 2 3 12 2 8 2" xfId="14579"/>
    <cellStyle name="표준 2 3 12 2 9" xfId="13119"/>
    <cellStyle name="표준 2 3 12 3" xfId="1304"/>
    <cellStyle name="표준 2 3 12 3 2" xfId="5165"/>
    <cellStyle name="표준 2 3 12 3 2 2" xfId="10042"/>
    <cellStyle name="표준 2 3 12 3 2 2 2" xfId="21290"/>
    <cellStyle name="표준 2 3 12 3 2 3" xfId="7604"/>
    <cellStyle name="표준 2 3 12 3 2 3 2" xfId="18852"/>
    <cellStyle name="표준 2 3 12 3 2 4" xfId="16414"/>
    <cellStyle name="표준 2 3 12 3 3" xfId="9052"/>
    <cellStyle name="표준 2 3 12 3 3 2" xfId="20300"/>
    <cellStyle name="표준 2 3 12 3 4" xfId="6614"/>
    <cellStyle name="표준 2 3 12 3 4 2" xfId="17862"/>
    <cellStyle name="표준 2 3 12 3 5" xfId="4173"/>
    <cellStyle name="표준 2 3 12 3 5 2" xfId="15424"/>
    <cellStyle name="표준 2 3 12 3 6" xfId="2925"/>
    <cellStyle name="표준 2 3 12 3 6 2" xfId="14203"/>
    <cellStyle name="표준 2 3 12 3 7" xfId="12743"/>
    <cellStyle name="표준 2 3 12 4" xfId="4713"/>
    <cellStyle name="표준 2 3 12 4 2" xfId="9590"/>
    <cellStyle name="표준 2 3 12 4 2 2" xfId="20838"/>
    <cellStyle name="표준 2 3 12 4 3" xfId="7152"/>
    <cellStyle name="표준 2 3 12 4 3 2" xfId="18400"/>
    <cellStyle name="표준 2 3 12 4 4" xfId="15962"/>
    <cellStyle name="표준 2 3 12 5" xfId="3721"/>
    <cellStyle name="표준 2 3 12 5 2" xfId="8600"/>
    <cellStyle name="표준 2 3 12 5 2 2" xfId="19848"/>
    <cellStyle name="표준 2 3 12 5 3" xfId="6162"/>
    <cellStyle name="표준 2 3 12 5 3 2" xfId="17410"/>
    <cellStyle name="표준 2 3 12 5 4" xfId="14972"/>
    <cellStyle name="표준 2 3 12 6" xfId="8449"/>
    <cellStyle name="표준 2 3 12 6 2" xfId="19697"/>
    <cellStyle name="표준 2 3 12 7" xfId="6011"/>
    <cellStyle name="표준 2 3 12 7 2" xfId="17259"/>
    <cellStyle name="표준 2 3 12 8" xfId="10895"/>
    <cellStyle name="표준 2 3 12 8 2" xfId="22143"/>
    <cellStyle name="표준 2 3 12 9" xfId="3550"/>
    <cellStyle name="표준 2 3 12 9 2" xfId="14821"/>
    <cellStyle name="표준 2 3 13" xfId="608"/>
    <cellStyle name="표준 2 3 13 2" xfId="1393"/>
    <cellStyle name="표준 2 3 13 2 2" xfId="5259"/>
    <cellStyle name="표준 2 3 13 2 2 2" xfId="10136"/>
    <cellStyle name="표준 2 3 13 2 2 2 2" xfId="21384"/>
    <cellStyle name="표준 2 3 13 2 2 3" xfId="7698"/>
    <cellStyle name="표준 2 3 13 2 2 3 2" xfId="18946"/>
    <cellStyle name="표준 2 3 13 2 2 4" xfId="16508"/>
    <cellStyle name="표준 2 3 13 2 3" xfId="9146"/>
    <cellStyle name="표준 2 3 13 2 3 2" xfId="20394"/>
    <cellStyle name="표준 2 3 13 2 4" xfId="6708"/>
    <cellStyle name="표준 2 3 13 2 4 2" xfId="17956"/>
    <cellStyle name="표준 2 3 13 2 5" xfId="10915"/>
    <cellStyle name="표준 2 3 13 2 5 2" xfId="22162"/>
    <cellStyle name="표준 2 3 13 2 6" xfId="4267"/>
    <cellStyle name="표준 2 3 13 2 6 2" xfId="15518"/>
    <cellStyle name="표준 2 3 13 2 7" xfId="3008"/>
    <cellStyle name="표준 2 3 13 2 7 2" xfId="14286"/>
    <cellStyle name="표준 2 3 13 2 8" xfId="12826"/>
    <cellStyle name="표준 2 3 13 3" xfId="4806"/>
    <cellStyle name="표준 2 3 13 3 2" xfId="9683"/>
    <cellStyle name="표준 2 3 13 3 2 2" xfId="20931"/>
    <cellStyle name="표준 2 3 13 3 3" xfId="7245"/>
    <cellStyle name="표준 2 3 13 3 3 2" xfId="18493"/>
    <cellStyle name="표준 2 3 13 3 4" xfId="16055"/>
    <cellStyle name="표준 2 3 13 4" xfId="8693"/>
    <cellStyle name="표준 2 3 13 4 2" xfId="19941"/>
    <cellStyle name="표준 2 3 13 5" xfId="6255"/>
    <cellStyle name="표준 2 3 13 5 2" xfId="17503"/>
    <cellStyle name="표준 2 3 13 6" xfId="10730"/>
    <cellStyle name="표준 2 3 13 6 2" xfId="21978"/>
    <cellStyle name="표준 2 3 13 7" xfId="3814"/>
    <cellStyle name="표준 2 3 13 7 2" xfId="15065"/>
    <cellStyle name="표준 2 3 13 8" xfId="2280"/>
    <cellStyle name="표준 2 3 13 8 2" xfId="13699"/>
    <cellStyle name="표준 2 3 13 9" xfId="12239"/>
    <cellStyle name="표준 2 3 14" xfId="1018"/>
    <cellStyle name="표준 2 3 14 2" xfId="5032"/>
    <cellStyle name="표준 2 3 14 2 2" xfId="9909"/>
    <cellStyle name="표준 2 3 14 2 2 2" xfId="21157"/>
    <cellStyle name="표준 2 3 14 2 3" xfId="7471"/>
    <cellStyle name="표준 2 3 14 2 3 2" xfId="18719"/>
    <cellStyle name="표준 2 3 14 2 4" xfId="16281"/>
    <cellStyle name="표준 2 3 14 3" xfId="8919"/>
    <cellStyle name="표준 2 3 14 3 2" xfId="20167"/>
    <cellStyle name="표준 2 3 14 4" xfId="6481"/>
    <cellStyle name="표준 2 3 14 4 2" xfId="17729"/>
    <cellStyle name="표준 2 3 14 5" xfId="10906"/>
    <cellStyle name="표준 2 3 14 5 2" xfId="22153"/>
    <cellStyle name="표준 2 3 14 6" xfId="4040"/>
    <cellStyle name="표준 2 3 14 6 2" xfId="15291"/>
    <cellStyle name="표준 2 3 14 7" xfId="2639"/>
    <cellStyle name="표준 2 3 14 7 2" xfId="13917"/>
    <cellStyle name="표준 2 3 14 8" xfId="12457"/>
    <cellStyle name="표준 2 3 15" xfId="948"/>
    <cellStyle name="표준 2 3 15 2" xfId="5488"/>
    <cellStyle name="표준 2 3 15 2 2" xfId="10365"/>
    <cellStyle name="표준 2 3 15 2 2 2" xfId="21613"/>
    <cellStyle name="표준 2 3 15 2 3" xfId="7927"/>
    <cellStyle name="표준 2 3 15 2 3 2" xfId="19175"/>
    <cellStyle name="표준 2 3 15 2 4" xfId="16737"/>
    <cellStyle name="표준 2 3 15 3" xfId="9375"/>
    <cellStyle name="표준 2 3 15 3 2" xfId="20623"/>
    <cellStyle name="표준 2 3 15 4" xfId="6937"/>
    <cellStyle name="표준 2 3 15 4 2" xfId="18185"/>
    <cellStyle name="표준 2 3 15 5" xfId="4498"/>
    <cellStyle name="표준 2 3 15 5 2" xfId="15747"/>
    <cellStyle name="표준 2 3 15 6" xfId="2570"/>
    <cellStyle name="표준 2 3 15 6 2" xfId="13848"/>
    <cellStyle name="표준 2 3 15 7" xfId="12388"/>
    <cellStyle name="표준 2 3 16" xfId="4580"/>
    <cellStyle name="표준 2 3 16 2" xfId="9457"/>
    <cellStyle name="표준 2 3 16 2 2" xfId="20705"/>
    <cellStyle name="표준 2 3 16 3" xfId="7019"/>
    <cellStyle name="표준 2 3 16 3 2" xfId="18267"/>
    <cellStyle name="표준 2 3 16 4" xfId="15829"/>
    <cellStyle name="표준 2 3 17" xfId="5572"/>
    <cellStyle name="표준 2 3 17 2" xfId="10449"/>
    <cellStyle name="표준 2 3 17 2 2" xfId="21697"/>
    <cellStyle name="표준 2 3 17 3" xfId="8011"/>
    <cellStyle name="표준 2 3 17 3 2" xfId="19259"/>
    <cellStyle name="표준 2 3 17 4" xfId="16821"/>
    <cellStyle name="표준 2 3 18" xfId="5654"/>
    <cellStyle name="표준 2 3 18 2" xfId="10531"/>
    <cellStyle name="표준 2 3 18 2 2" xfId="21779"/>
    <cellStyle name="표준 2 3 18 3" xfId="8093"/>
    <cellStyle name="표준 2 3 18 3 2" xfId="19341"/>
    <cellStyle name="표준 2 3 18 4" xfId="16903"/>
    <cellStyle name="표준 2 3 19" xfId="5678"/>
    <cellStyle name="표준 2 3 19 2" xfId="10555"/>
    <cellStyle name="표준 2 3 19 2 2" xfId="21803"/>
    <cellStyle name="표준 2 3 19 3" xfId="8117"/>
    <cellStyle name="표준 2 3 19 3 2" xfId="19365"/>
    <cellStyle name="표준 2 3 19 4" xfId="16927"/>
    <cellStyle name="표준 2 3 2" xfId="53"/>
    <cellStyle name="표준 2 3 2 10" xfId="1022"/>
    <cellStyle name="표준 2 3 2 10 2" xfId="9462"/>
    <cellStyle name="표준 2 3 2 10 2 2" xfId="20710"/>
    <cellStyle name="표준 2 3 2 10 3" xfId="7024"/>
    <cellStyle name="표준 2 3 2 10 3 2" xfId="18272"/>
    <cellStyle name="표준 2 3 2 10 4" xfId="4585"/>
    <cellStyle name="표준 2 3 2 10 4 2" xfId="15834"/>
    <cellStyle name="표준 2 3 2 10 5" xfId="2643"/>
    <cellStyle name="표준 2 3 2 10 5 2" xfId="13921"/>
    <cellStyle name="표준 2 3 2 10 6" xfId="12461"/>
    <cellStyle name="표준 2 3 2 11" xfId="949"/>
    <cellStyle name="표준 2 3 2 11 2" xfId="10478"/>
    <cellStyle name="표준 2 3 2 11 2 2" xfId="21726"/>
    <cellStyle name="표준 2 3 2 11 3" xfId="8040"/>
    <cellStyle name="표준 2 3 2 11 3 2" xfId="19288"/>
    <cellStyle name="표준 2 3 2 11 4" xfId="5601"/>
    <cellStyle name="표준 2 3 2 11 4 2" xfId="16850"/>
    <cellStyle name="표준 2 3 2 11 5" xfId="2571"/>
    <cellStyle name="표준 2 3 2 11 5 2" xfId="13849"/>
    <cellStyle name="표준 2 3 2 11 6" xfId="12389"/>
    <cellStyle name="표준 2 3 2 12" xfId="5664"/>
    <cellStyle name="표준 2 3 2 12 2" xfId="10541"/>
    <cellStyle name="표준 2 3 2 12 2 2" xfId="21789"/>
    <cellStyle name="표준 2 3 2 12 3" xfId="8103"/>
    <cellStyle name="표준 2 3 2 12 3 2" xfId="19351"/>
    <cellStyle name="표준 2 3 2 12 4" xfId="16913"/>
    <cellStyle name="표준 2 3 2 13" xfId="5707"/>
    <cellStyle name="표준 2 3 2 13 2" xfId="10584"/>
    <cellStyle name="표준 2 3 2 13 2 2" xfId="21832"/>
    <cellStyle name="표준 2 3 2 13 3" xfId="8146"/>
    <cellStyle name="표준 2 3 2 13 3 2" xfId="19394"/>
    <cellStyle name="표준 2 3 2 13 4" xfId="16956"/>
    <cellStyle name="표준 2 3 2 14" xfId="5790"/>
    <cellStyle name="표준 2 3 2 14 2" xfId="10667"/>
    <cellStyle name="표준 2 3 2 14 2 2" xfId="21915"/>
    <cellStyle name="표준 2 3 2 14 3" xfId="8229"/>
    <cellStyle name="표준 2 3 2 14 3 2" xfId="19477"/>
    <cellStyle name="표준 2 3 2 14 4" xfId="17039"/>
    <cellStyle name="표준 2 3 2 15" xfId="3593"/>
    <cellStyle name="표준 2 3 2 15 2" xfId="8492"/>
    <cellStyle name="표준 2 3 2 15 2 2" xfId="19740"/>
    <cellStyle name="표준 2 3 2 15 3" xfId="6054"/>
    <cellStyle name="표준 2 3 2 15 3 2" xfId="17302"/>
    <cellStyle name="표준 2 3 2 15 4" xfId="14864"/>
    <cellStyle name="표준 2 3 2 16" xfId="8313"/>
    <cellStyle name="표준 2 3 2 16 2" xfId="19561"/>
    <cellStyle name="표준 2 3 2 17" xfId="5875"/>
    <cellStyle name="표준 2 3 2 17 2" xfId="17123"/>
    <cellStyle name="표준 2 3 2 18" xfId="10725"/>
    <cellStyle name="표준 2 3 2 18 2" xfId="21973"/>
    <cellStyle name="표준 2 3 2 19" xfId="3407"/>
    <cellStyle name="표준 2 3 2 19 2" xfId="14685"/>
    <cellStyle name="표준 2 3 2 2" xfId="65"/>
    <cellStyle name="표준 2 3 2 2 10" xfId="5708"/>
    <cellStyle name="표준 2 3 2 2 10 2" xfId="10585"/>
    <cellStyle name="표준 2 3 2 2 10 2 2" xfId="21833"/>
    <cellStyle name="표준 2 3 2 2 10 3" xfId="8147"/>
    <cellStyle name="표준 2 3 2 2 10 3 2" xfId="19395"/>
    <cellStyle name="표준 2 3 2 2 10 4" xfId="16957"/>
    <cellStyle name="표준 2 3 2 2 11" xfId="5791"/>
    <cellStyle name="표준 2 3 2 2 11 2" xfId="10668"/>
    <cellStyle name="표준 2 3 2 2 11 2 2" xfId="21916"/>
    <cellStyle name="표준 2 3 2 2 11 3" xfId="8230"/>
    <cellStyle name="표준 2 3 2 2 11 3 2" xfId="19478"/>
    <cellStyle name="표준 2 3 2 2 11 4" xfId="17040"/>
    <cellStyle name="표준 2 3 2 2 12" xfId="3594"/>
    <cellStyle name="표준 2 3 2 2 12 2" xfId="8493"/>
    <cellStyle name="표준 2 3 2 2 12 2 2" xfId="19741"/>
    <cellStyle name="표준 2 3 2 2 12 3" xfId="6055"/>
    <cellStyle name="표준 2 3 2 2 12 3 2" xfId="17303"/>
    <cellStyle name="표준 2 3 2 2 12 4" xfId="14865"/>
    <cellStyle name="표준 2 3 2 2 13" xfId="8314"/>
    <cellStyle name="표준 2 3 2 2 13 2" xfId="19562"/>
    <cellStyle name="표준 2 3 2 2 14" xfId="5876"/>
    <cellStyle name="표준 2 3 2 2 14 2" xfId="17124"/>
    <cellStyle name="표준 2 3 2 2 15" xfId="10760"/>
    <cellStyle name="표준 2 3 2 2 15 2" xfId="22008"/>
    <cellStyle name="표준 2 3 2 2 16" xfId="3408"/>
    <cellStyle name="표준 2 3 2 2 16 2" xfId="14686"/>
    <cellStyle name="표준 2 3 2 2 17" xfId="1781"/>
    <cellStyle name="표준 2 3 2 2 17 2" xfId="13210"/>
    <cellStyle name="표준 2 3 2 2 18" xfId="11750"/>
    <cellStyle name="표준 2 3 2 2 2" xfId="84"/>
    <cellStyle name="표준 2 3 2 2 2 10" xfId="3497"/>
    <cellStyle name="표준 2 3 2 2 2 10 2" xfId="14769"/>
    <cellStyle name="표준 2 3 2 2 2 11" xfId="1800"/>
    <cellStyle name="표준 2 3 2 2 2 11 2" xfId="13229"/>
    <cellStyle name="표준 2 3 2 2 2 12" xfId="11769"/>
    <cellStyle name="표준 2 3 2 2 2 2" xfId="240"/>
    <cellStyle name="표준 2 3 2 2 2 2 10" xfId="11879"/>
    <cellStyle name="표준 2 3 2 2 2 2 2" xfId="524"/>
    <cellStyle name="표준 2 3 2 2 2 2 2 2" xfId="1612"/>
    <cellStyle name="표준 2 3 2 2 2 2 2 2 2" xfId="5475"/>
    <cellStyle name="표준 2 3 2 2 2 2 2 2 2 2" xfId="10352"/>
    <cellStyle name="표준 2 3 2 2 2 2 2 2 2 2 2" xfId="21600"/>
    <cellStyle name="표준 2 3 2 2 2 2 2 2 2 3" xfId="7914"/>
    <cellStyle name="표준 2 3 2 2 2 2 2 2 2 3 2" xfId="19162"/>
    <cellStyle name="표준 2 3 2 2 2 2 2 2 2 4" xfId="16724"/>
    <cellStyle name="표준 2 3 2 2 2 2 2 2 3" xfId="9362"/>
    <cellStyle name="표준 2 3 2 2 2 2 2 2 3 2" xfId="20610"/>
    <cellStyle name="표준 2 3 2 2 2 2 2 2 4" xfId="6924"/>
    <cellStyle name="표준 2 3 2 2 2 2 2 2 4 2" xfId="18172"/>
    <cellStyle name="표준 2 3 2 2 2 2 2 2 5" xfId="4483"/>
    <cellStyle name="표준 2 3 2 2 2 2 2 2 5 2" xfId="15734"/>
    <cellStyle name="표준 2 3 2 2 2 2 2 2 6" xfId="3224"/>
    <cellStyle name="표준 2 3 2 2 2 2 2 2 6 2" xfId="14502"/>
    <cellStyle name="표준 2 3 2 2 2 2 2 2 7" xfId="13042"/>
    <cellStyle name="표준 2 3 2 2 2 2 2 3" xfId="5022"/>
    <cellStyle name="표준 2 3 2 2 2 2 2 3 2" xfId="9899"/>
    <cellStyle name="표준 2 3 2 2 2 2 2 3 2 2" xfId="21147"/>
    <cellStyle name="표준 2 3 2 2 2 2 2 3 3" xfId="7461"/>
    <cellStyle name="표준 2 3 2 2 2 2 2 3 3 2" xfId="18709"/>
    <cellStyle name="표준 2 3 2 2 2 2 2 3 4" xfId="16271"/>
    <cellStyle name="표준 2 3 2 2 2 2 2 4" xfId="8909"/>
    <cellStyle name="표준 2 3 2 2 2 2 2 4 2" xfId="20157"/>
    <cellStyle name="표준 2 3 2 2 2 2 2 5" xfId="6471"/>
    <cellStyle name="표준 2 3 2 2 2 2 2 5 2" xfId="17719"/>
    <cellStyle name="표준 2 3 2 2 2 2 2 6" xfId="4030"/>
    <cellStyle name="표준 2 3 2 2 2 2 2 6 2" xfId="15281"/>
    <cellStyle name="표준 2 3 2 2 2 2 2 7" xfId="2196"/>
    <cellStyle name="표준 2 3 2 2 2 2 2 7 2" xfId="13623"/>
    <cellStyle name="표준 2 3 2 2 2 2 2 8" xfId="12163"/>
    <cellStyle name="표준 2 3 2 2 2 2 3" xfId="1227"/>
    <cellStyle name="표준 2 3 2 2 2 2 3 2" xfId="5248"/>
    <cellStyle name="표준 2 3 2 2 2 2 3 2 2" xfId="10125"/>
    <cellStyle name="표준 2 3 2 2 2 2 3 2 2 2" xfId="21373"/>
    <cellStyle name="표준 2 3 2 2 2 2 3 2 3" xfId="7687"/>
    <cellStyle name="표준 2 3 2 2 2 2 3 2 3 2" xfId="18935"/>
    <cellStyle name="표준 2 3 2 2 2 2 3 2 4" xfId="16497"/>
    <cellStyle name="표준 2 3 2 2 2 2 3 3" xfId="9135"/>
    <cellStyle name="표준 2 3 2 2 2 2 3 3 2" xfId="20383"/>
    <cellStyle name="표준 2 3 2 2 2 2 3 4" xfId="6697"/>
    <cellStyle name="표준 2 3 2 2 2 2 3 4 2" xfId="17945"/>
    <cellStyle name="표준 2 3 2 2 2 2 3 5" xfId="4256"/>
    <cellStyle name="표준 2 3 2 2 2 2 3 5 2" xfId="15507"/>
    <cellStyle name="표준 2 3 2 2 2 2 3 6" xfId="2848"/>
    <cellStyle name="표준 2 3 2 2 2 2 3 6 2" xfId="14126"/>
    <cellStyle name="표준 2 3 2 2 2 2 3 7" xfId="12666"/>
    <cellStyle name="표준 2 3 2 2 2 2 4" xfId="4796"/>
    <cellStyle name="표준 2 3 2 2 2 2 4 2" xfId="9673"/>
    <cellStyle name="표준 2 3 2 2 2 2 4 2 2" xfId="20921"/>
    <cellStyle name="표준 2 3 2 2 2 2 4 3" xfId="7235"/>
    <cellStyle name="표준 2 3 2 2 2 2 4 3 2" xfId="18483"/>
    <cellStyle name="표준 2 3 2 2 2 2 4 4" xfId="16045"/>
    <cellStyle name="표준 2 3 2 2 2 2 5" xfId="8683"/>
    <cellStyle name="표준 2 3 2 2 2 2 5 2" xfId="19931"/>
    <cellStyle name="표준 2 3 2 2 2 2 6" xfId="6245"/>
    <cellStyle name="표준 2 3 2 2 2 2 6 2" xfId="17493"/>
    <cellStyle name="표준 2 3 2 2 2 2 7" xfId="11028"/>
    <cellStyle name="표준 2 3 2 2 2 2 7 2" xfId="22275"/>
    <cellStyle name="표준 2 3 2 2 2 2 8" xfId="3804"/>
    <cellStyle name="표준 2 3 2 2 2 2 8 2" xfId="15055"/>
    <cellStyle name="표준 2 3 2 2 2 2 9" xfId="1912"/>
    <cellStyle name="표준 2 3 2 2 2 2 9 2" xfId="13339"/>
    <cellStyle name="표준 2 3 2 2 2 3" xfId="414"/>
    <cellStyle name="표준 2 3 2 2 2 3 2" xfId="1512"/>
    <cellStyle name="표준 2 3 2 2 2 3 2 2" xfId="5296"/>
    <cellStyle name="표준 2 3 2 2 2 3 2 2 2" xfId="10173"/>
    <cellStyle name="표준 2 3 2 2 2 3 2 2 2 2" xfId="21421"/>
    <cellStyle name="표준 2 3 2 2 2 3 2 2 3" xfId="7735"/>
    <cellStyle name="표준 2 3 2 2 2 3 2 2 3 2" xfId="18983"/>
    <cellStyle name="표준 2 3 2 2 2 3 2 2 4" xfId="16545"/>
    <cellStyle name="표준 2 3 2 2 2 3 2 3" xfId="9183"/>
    <cellStyle name="표준 2 3 2 2 2 3 2 3 2" xfId="20431"/>
    <cellStyle name="표준 2 3 2 2 2 3 2 4" xfId="6745"/>
    <cellStyle name="표준 2 3 2 2 2 3 2 4 2" xfId="17993"/>
    <cellStyle name="표준 2 3 2 2 2 3 2 5" xfId="4304"/>
    <cellStyle name="표준 2 3 2 2 2 3 2 5 2" xfId="15555"/>
    <cellStyle name="표준 2 3 2 2 2 3 2 6" xfId="3124"/>
    <cellStyle name="표준 2 3 2 2 2 3 2 6 2" xfId="14402"/>
    <cellStyle name="표준 2 3 2 2 2 3 2 7" xfId="12942"/>
    <cellStyle name="표준 2 3 2 2 2 3 3" xfId="4843"/>
    <cellStyle name="표준 2 3 2 2 2 3 3 2" xfId="9720"/>
    <cellStyle name="표준 2 3 2 2 2 3 3 2 2" xfId="20968"/>
    <cellStyle name="표준 2 3 2 2 2 3 3 3" xfId="7282"/>
    <cellStyle name="표준 2 3 2 2 2 3 3 3 2" xfId="18530"/>
    <cellStyle name="표준 2 3 2 2 2 3 3 4" xfId="16092"/>
    <cellStyle name="표준 2 3 2 2 2 3 4" xfId="8730"/>
    <cellStyle name="표준 2 3 2 2 2 3 4 2" xfId="19978"/>
    <cellStyle name="표준 2 3 2 2 2 3 5" xfId="6292"/>
    <cellStyle name="표준 2 3 2 2 2 3 5 2" xfId="17540"/>
    <cellStyle name="표준 2 3 2 2 2 3 6" xfId="3851"/>
    <cellStyle name="표준 2 3 2 2 2 3 6 2" xfId="15102"/>
    <cellStyle name="표준 2 3 2 2 2 3 7" xfId="2086"/>
    <cellStyle name="표준 2 3 2 2 2 3 7 2" xfId="13513"/>
    <cellStyle name="표준 2 3 2 2 2 3 8" xfId="12053"/>
    <cellStyle name="표준 2 3 2 2 2 4" xfId="697"/>
    <cellStyle name="표준 2 3 2 2 2 4 2" xfId="5069"/>
    <cellStyle name="표준 2 3 2 2 2 4 2 2" xfId="9946"/>
    <cellStyle name="표준 2 3 2 2 2 4 2 2 2" xfId="21194"/>
    <cellStyle name="표준 2 3 2 2 2 4 2 3" xfId="7508"/>
    <cellStyle name="표준 2 3 2 2 2 4 2 3 2" xfId="18756"/>
    <cellStyle name="표준 2 3 2 2 2 4 2 4" xfId="16318"/>
    <cellStyle name="표준 2 3 2 2 2 4 3" xfId="8956"/>
    <cellStyle name="표준 2 3 2 2 2 4 3 2" xfId="20204"/>
    <cellStyle name="표준 2 3 2 2 2 4 4" xfId="6518"/>
    <cellStyle name="표준 2 3 2 2 2 4 4 2" xfId="17766"/>
    <cellStyle name="표준 2 3 2 2 2 4 5" xfId="4077"/>
    <cellStyle name="표준 2 3 2 2 2 4 5 2" xfId="15328"/>
    <cellStyle name="표준 2 3 2 2 2 4 6" xfId="2329"/>
    <cellStyle name="표준 2 3 2 2 2 4 6 2" xfId="13742"/>
    <cellStyle name="표준 2 3 2 2 2 4 7" xfId="12282"/>
    <cellStyle name="표준 2 3 2 2 2 5" xfId="1117"/>
    <cellStyle name="표준 2 3 2 2 2 5 2" xfId="9494"/>
    <cellStyle name="표준 2 3 2 2 2 5 2 2" xfId="20742"/>
    <cellStyle name="표준 2 3 2 2 2 5 3" xfId="7056"/>
    <cellStyle name="표준 2 3 2 2 2 5 3 2" xfId="18304"/>
    <cellStyle name="표준 2 3 2 2 2 5 4" xfId="4617"/>
    <cellStyle name="표준 2 3 2 2 2 5 4 2" xfId="15866"/>
    <cellStyle name="표준 2 3 2 2 2 5 5" xfId="2738"/>
    <cellStyle name="표준 2 3 2 2 2 5 5 2" xfId="14016"/>
    <cellStyle name="표준 2 3 2 2 2 5 6" xfId="12556"/>
    <cellStyle name="표준 2 3 2 2 2 6" xfId="3652"/>
    <cellStyle name="표준 2 3 2 2 2 6 2" xfId="8549"/>
    <cellStyle name="표준 2 3 2 2 2 6 2 2" xfId="19797"/>
    <cellStyle name="표준 2 3 2 2 2 6 3" xfId="6111"/>
    <cellStyle name="표준 2 3 2 2 2 6 3 2" xfId="17359"/>
    <cellStyle name="표준 2 3 2 2 2 6 4" xfId="14921"/>
    <cellStyle name="표준 2 3 2 2 2 7" xfId="8397"/>
    <cellStyle name="표준 2 3 2 2 2 7 2" xfId="19645"/>
    <cellStyle name="표준 2 3 2 2 2 8" xfId="5959"/>
    <cellStyle name="표준 2 3 2 2 2 8 2" xfId="17207"/>
    <cellStyle name="표준 2 3 2 2 2 9" xfId="10843"/>
    <cellStyle name="표준 2 3 2 2 2 9 2" xfId="22091"/>
    <cellStyle name="표준 2 3 2 2 3" xfId="106"/>
    <cellStyle name="표준 2 3 2 2 3 10" xfId="11791"/>
    <cellStyle name="표준 2 3 2 2 3 2" xfId="262"/>
    <cellStyle name="표준 2 3 2 2 3 2 2" xfId="546"/>
    <cellStyle name="표준 2 3 2 2 3 2 2 2" xfId="1634"/>
    <cellStyle name="표준 2 3 2 2 3 2 2 2 2" xfId="10215"/>
    <cellStyle name="표준 2 3 2 2 3 2 2 2 2 2" xfId="21463"/>
    <cellStyle name="표준 2 3 2 2 3 2 2 2 3" xfId="7777"/>
    <cellStyle name="표준 2 3 2 2 3 2 2 2 3 2" xfId="19025"/>
    <cellStyle name="표준 2 3 2 2 3 2 2 2 4" xfId="5338"/>
    <cellStyle name="표준 2 3 2 2 3 2 2 2 4 2" xfId="16587"/>
    <cellStyle name="표준 2 3 2 2 3 2 2 2 5" xfId="3246"/>
    <cellStyle name="표준 2 3 2 2 3 2 2 2 5 2" xfId="14524"/>
    <cellStyle name="표준 2 3 2 2 3 2 2 2 6" xfId="13064"/>
    <cellStyle name="표준 2 3 2 2 3 2 2 3" xfId="9225"/>
    <cellStyle name="표준 2 3 2 2 3 2 2 3 2" xfId="20473"/>
    <cellStyle name="표준 2 3 2 2 3 2 2 4" xfId="6787"/>
    <cellStyle name="표준 2 3 2 2 3 2 2 4 2" xfId="18035"/>
    <cellStyle name="표준 2 3 2 2 3 2 2 5" xfId="4346"/>
    <cellStyle name="표준 2 3 2 2 3 2 2 5 2" xfId="15597"/>
    <cellStyle name="표준 2 3 2 2 3 2 2 6" xfId="2218"/>
    <cellStyle name="표준 2 3 2 2 3 2 2 6 2" xfId="13645"/>
    <cellStyle name="표준 2 3 2 2 3 2 2 7" xfId="12185"/>
    <cellStyle name="표준 2 3 2 2 3 2 3" xfId="1249"/>
    <cellStyle name="표준 2 3 2 2 3 2 3 2" xfId="9762"/>
    <cellStyle name="표준 2 3 2 2 3 2 3 2 2" xfId="21010"/>
    <cellStyle name="표준 2 3 2 2 3 2 3 3" xfId="7324"/>
    <cellStyle name="표준 2 3 2 2 3 2 3 3 2" xfId="18572"/>
    <cellStyle name="표준 2 3 2 2 3 2 3 4" xfId="4885"/>
    <cellStyle name="표준 2 3 2 2 3 2 3 4 2" xfId="16134"/>
    <cellStyle name="표준 2 3 2 2 3 2 3 5" xfId="2870"/>
    <cellStyle name="표준 2 3 2 2 3 2 3 5 2" xfId="14148"/>
    <cellStyle name="표준 2 3 2 2 3 2 3 6" xfId="12688"/>
    <cellStyle name="표준 2 3 2 2 3 2 4" xfId="8772"/>
    <cellStyle name="표준 2 3 2 2 3 2 4 2" xfId="20020"/>
    <cellStyle name="표준 2 3 2 2 3 2 5" xfId="6334"/>
    <cellStyle name="표준 2 3 2 2 3 2 5 2" xfId="17582"/>
    <cellStyle name="표준 2 3 2 2 3 2 6" xfId="3893"/>
    <cellStyle name="표준 2 3 2 2 3 2 6 2" xfId="15144"/>
    <cellStyle name="표준 2 3 2 2 3 2 7" xfId="1934"/>
    <cellStyle name="표준 2 3 2 2 3 2 7 2" xfId="13361"/>
    <cellStyle name="표준 2 3 2 2 3 2 8" xfId="11901"/>
    <cellStyle name="표준 2 3 2 2 3 3" xfId="436"/>
    <cellStyle name="표준 2 3 2 2 3 3 2" xfId="1529"/>
    <cellStyle name="표준 2 3 2 2 3 3 2 2" xfId="9988"/>
    <cellStyle name="표준 2 3 2 2 3 3 2 2 2" xfId="21236"/>
    <cellStyle name="표준 2 3 2 2 3 3 2 3" xfId="7550"/>
    <cellStyle name="표준 2 3 2 2 3 3 2 3 2" xfId="18798"/>
    <cellStyle name="표준 2 3 2 2 3 3 2 4" xfId="5111"/>
    <cellStyle name="표준 2 3 2 2 3 3 2 4 2" xfId="16360"/>
    <cellStyle name="표준 2 3 2 2 3 3 2 5" xfId="3141"/>
    <cellStyle name="표준 2 3 2 2 3 3 2 5 2" xfId="14419"/>
    <cellStyle name="표준 2 3 2 2 3 3 2 6" xfId="12959"/>
    <cellStyle name="표준 2 3 2 2 3 3 3" xfId="8998"/>
    <cellStyle name="표준 2 3 2 2 3 3 3 2" xfId="20246"/>
    <cellStyle name="표준 2 3 2 2 3 3 4" xfId="6560"/>
    <cellStyle name="표준 2 3 2 2 3 3 4 2" xfId="17808"/>
    <cellStyle name="표준 2 3 2 2 3 3 5" xfId="4119"/>
    <cellStyle name="표준 2 3 2 2 3 3 5 2" xfId="15370"/>
    <cellStyle name="표준 2 3 2 2 3 3 6" xfId="2108"/>
    <cellStyle name="표준 2 3 2 2 3 3 6 2" xfId="13535"/>
    <cellStyle name="표준 2 3 2 2 3 3 7" xfId="12075"/>
    <cellStyle name="표준 2 3 2 2 3 4" xfId="771"/>
    <cellStyle name="표준 2 3 2 2 3 4 2" xfId="9536"/>
    <cellStyle name="표준 2 3 2 2 3 4 2 2" xfId="20784"/>
    <cellStyle name="표준 2 3 2 2 3 4 3" xfId="7098"/>
    <cellStyle name="표준 2 3 2 2 3 4 3 2" xfId="18346"/>
    <cellStyle name="표준 2 3 2 2 3 4 4" xfId="4659"/>
    <cellStyle name="표준 2 3 2 2 3 4 4 2" xfId="15908"/>
    <cellStyle name="표준 2 3 2 2 3 4 5" xfId="2398"/>
    <cellStyle name="표준 2 3 2 2 3 4 5 2" xfId="13793"/>
    <cellStyle name="표준 2 3 2 2 3 4 6" xfId="12333"/>
    <cellStyle name="표준 2 3 2 2 3 5" xfId="1139"/>
    <cellStyle name="표준 2 3 2 2 3 5 2" xfId="8570"/>
    <cellStyle name="표준 2 3 2 2 3 5 2 2" xfId="19818"/>
    <cellStyle name="표준 2 3 2 2 3 5 3" xfId="2760"/>
    <cellStyle name="표준 2 3 2 2 3 5 3 2" xfId="14038"/>
    <cellStyle name="표준 2 3 2 2 3 5 4" xfId="12578"/>
    <cellStyle name="표준 2 3 2 2 3 6" xfId="6132"/>
    <cellStyle name="표준 2 3 2 2 3 6 2" xfId="17380"/>
    <cellStyle name="표준 2 3 2 2 3 7" xfId="10945"/>
    <cellStyle name="표준 2 3 2 2 3 7 2" xfId="22192"/>
    <cellStyle name="표준 2 3 2 2 3 8" xfId="3691"/>
    <cellStyle name="표준 2 3 2 2 3 8 2" xfId="14942"/>
    <cellStyle name="표준 2 3 2 2 3 9" xfId="1822"/>
    <cellStyle name="표준 2 3 2 2 3 9 2" xfId="13251"/>
    <cellStyle name="표준 2 3 2 2 4" xfId="221"/>
    <cellStyle name="표준 2 3 2 2 4 2" xfId="505"/>
    <cellStyle name="표준 2 3 2 2 4 2 2" xfId="1593"/>
    <cellStyle name="표준 2 3 2 2 4 2 2 2" xfId="5424"/>
    <cellStyle name="표준 2 3 2 2 4 2 2 2 2" xfId="10301"/>
    <cellStyle name="표준 2 3 2 2 4 2 2 2 2 2" xfId="21549"/>
    <cellStyle name="표준 2 3 2 2 4 2 2 2 3" xfId="7863"/>
    <cellStyle name="표준 2 3 2 2 4 2 2 2 3 2" xfId="19111"/>
    <cellStyle name="표준 2 3 2 2 4 2 2 2 4" xfId="16673"/>
    <cellStyle name="표준 2 3 2 2 4 2 2 3" xfId="9311"/>
    <cellStyle name="표준 2 3 2 2 4 2 2 3 2" xfId="20559"/>
    <cellStyle name="표준 2 3 2 2 4 2 2 4" xfId="6873"/>
    <cellStyle name="표준 2 3 2 2 4 2 2 4 2" xfId="18121"/>
    <cellStyle name="표준 2 3 2 2 4 2 2 5" xfId="4432"/>
    <cellStyle name="표준 2 3 2 2 4 2 2 5 2" xfId="15683"/>
    <cellStyle name="표준 2 3 2 2 4 2 2 6" xfId="3205"/>
    <cellStyle name="표준 2 3 2 2 4 2 2 6 2" xfId="14483"/>
    <cellStyle name="표준 2 3 2 2 4 2 2 7" xfId="13023"/>
    <cellStyle name="표준 2 3 2 2 4 2 3" xfId="4971"/>
    <cellStyle name="표준 2 3 2 2 4 2 3 2" xfId="9848"/>
    <cellStyle name="표준 2 3 2 2 4 2 3 2 2" xfId="21096"/>
    <cellStyle name="표준 2 3 2 2 4 2 3 3" xfId="7410"/>
    <cellStyle name="표준 2 3 2 2 4 2 3 3 2" xfId="18658"/>
    <cellStyle name="표준 2 3 2 2 4 2 3 4" xfId="16220"/>
    <cellStyle name="표준 2 3 2 2 4 2 4" xfId="8858"/>
    <cellStyle name="표준 2 3 2 2 4 2 4 2" xfId="20106"/>
    <cellStyle name="표준 2 3 2 2 4 2 5" xfId="6420"/>
    <cellStyle name="표준 2 3 2 2 4 2 5 2" xfId="17668"/>
    <cellStyle name="표준 2 3 2 2 4 2 6" xfId="3979"/>
    <cellStyle name="표준 2 3 2 2 4 2 6 2" xfId="15230"/>
    <cellStyle name="표준 2 3 2 2 4 2 7" xfId="2177"/>
    <cellStyle name="표준 2 3 2 2 4 2 7 2" xfId="13604"/>
    <cellStyle name="표준 2 3 2 2 4 2 8" xfId="12144"/>
    <cellStyle name="표준 2 3 2 2 4 3" xfId="1208"/>
    <cellStyle name="표준 2 3 2 2 4 3 2" xfId="5197"/>
    <cellStyle name="표준 2 3 2 2 4 3 2 2" xfId="10074"/>
    <cellStyle name="표준 2 3 2 2 4 3 2 2 2" xfId="21322"/>
    <cellStyle name="표준 2 3 2 2 4 3 2 3" xfId="7636"/>
    <cellStyle name="표준 2 3 2 2 4 3 2 3 2" xfId="18884"/>
    <cellStyle name="표준 2 3 2 2 4 3 2 4" xfId="16446"/>
    <cellStyle name="표준 2 3 2 2 4 3 3" xfId="9084"/>
    <cellStyle name="표준 2 3 2 2 4 3 3 2" xfId="20332"/>
    <cellStyle name="표준 2 3 2 2 4 3 4" xfId="6646"/>
    <cellStyle name="표준 2 3 2 2 4 3 4 2" xfId="17894"/>
    <cellStyle name="표준 2 3 2 2 4 3 5" xfId="4205"/>
    <cellStyle name="표준 2 3 2 2 4 3 5 2" xfId="15456"/>
    <cellStyle name="표준 2 3 2 2 4 3 6" xfId="2829"/>
    <cellStyle name="표준 2 3 2 2 4 3 6 2" xfId="14107"/>
    <cellStyle name="표준 2 3 2 2 4 3 7" xfId="12647"/>
    <cellStyle name="표준 2 3 2 2 4 4" xfId="4745"/>
    <cellStyle name="표준 2 3 2 2 4 4 2" xfId="9622"/>
    <cellStyle name="표준 2 3 2 2 4 4 2 2" xfId="20870"/>
    <cellStyle name="표준 2 3 2 2 4 4 3" xfId="7184"/>
    <cellStyle name="표준 2 3 2 2 4 4 3 2" xfId="18432"/>
    <cellStyle name="표준 2 3 2 2 4 4 4" xfId="15994"/>
    <cellStyle name="표준 2 3 2 2 4 5" xfId="8632"/>
    <cellStyle name="표준 2 3 2 2 4 5 2" xfId="19880"/>
    <cellStyle name="표준 2 3 2 2 4 6" xfId="6194"/>
    <cellStyle name="표준 2 3 2 2 4 6 2" xfId="17442"/>
    <cellStyle name="표준 2 3 2 2 4 7" xfId="3753"/>
    <cellStyle name="표준 2 3 2 2 4 7 2" xfId="15004"/>
    <cellStyle name="표준 2 3 2 2 4 8" xfId="1893"/>
    <cellStyle name="표준 2 3 2 2 4 8 2" xfId="13320"/>
    <cellStyle name="표준 2 3 2 2 4 9" xfId="11860"/>
    <cellStyle name="표준 2 3 2 2 5" xfId="395"/>
    <cellStyle name="표준 2 3 2 2 5 2" xfId="1493"/>
    <cellStyle name="표준 2 3 2 2 5 2 2" xfId="5274"/>
    <cellStyle name="표준 2 3 2 2 5 2 2 2" xfId="10151"/>
    <cellStyle name="표준 2 3 2 2 5 2 2 2 2" xfId="21399"/>
    <cellStyle name="표준 2 3 2 2 5 2 2 3" xfId="7713"/>
    <cellStyle name="표준 2 3 2 2 5 2 2 3 2" xfId="18961"/>
    <cellStyle name="표준 2 3 2 2 5 2 2 4" xfId="16523"/>
    <cellStyle name="표준 2 3 2 2 5 2 3" xfId="9161"/>
    <cellStyle name="표준 2 3 2 2 5 2 3 2" xfId="20409"/>
    <cellStyle name="표준 2 3 2 2 5 2 4" xfId="6723"/>
    <cellStyle name="표준 2 3 2 2 5 2 4 2" xfId="17971"/>
    <cellStyle name="표준 2 3 2 2 5 2 5" xfId="4282"/>
    <cellStyle name="표준 2 3 2 2 5 2 5 2" xfId="15533"/>
    <cellStyle name="표준 2 3 2 2 5 2 6" xfId="3105"/>
    <cellStyle name="표준 2 3 2 2 5 2 6 2" xfId="14383"/>
    <cellStyle name="표준 2 3 2 2 5 2 7" xfId="12923"/>
    <cellStyle name="표준 2 3 2 2 5 3" xfId="1098"/>
    <cellStyle name="표준 2 3 2 2 5 3 2" xfId="9698"/>
    <cellStyle name="표준 2 3 2 2 5 3 2 2" xfId="20946"/>
    <cellStyle name="표준 2 3 2 2 5 3 3" xfId="7260"/>
    <cellStyle name="표준 2 3 2 2 5 3 3 2" xfId="18508"/>
    <cellStyle name="표준 2 3 2 2 5 3 4" xfId="4821"/>
    <cellStyle name="표준 2 3 2 2 5 3 4 2" xfId="16070"/>
    <cellStyle name="표준 2 3 2 2 5 3 5" xfId="2719"/>
    <cellStyle name="표준 2 3 2 2 5 3 5 2" xfId="13997"/>
    <cellStyle name="표준 2 3 2 2 5 3 6" xfId="12537"/>
    <cellStyle name="표준 2 3 2 2 5 4" xfId="8708"/>
    <cellStyle name="표준 2 3 2 2 5 4 2" xfId="19956"/>
    <cellStyle name="표준 2 3 2 2 5 5" xfId="6270"/>
    <cellStyle name="표준 2 3 2 2 5 5 2" xfId="17518"/>
    <cellStyle name="표준 2 3 2 2 5 6" xfId="3829"/>
    <cellStyle name="표준 2 3 2 2 5 6 2" xfId="15080"/>
    <cellStyle name="표준 2 3 2 2 5 7" xfId="2067"/>
    <cellStyle name="표준 2 3 2 2 5 7 2" xfId="13494"/>
    <cellStyle name="표준 2 3 2 2 5 8" xfId="12034"/>
    <cellStyle name="표준 2 3 2 2 6" xfId="326"/>
    <cellStyle name="표준 2 3 2 2 6 2" xfId="1716"/>
    <cellStyle name="표준 2 3 2 2 6 2 2" xfId="9924"/>
    <cellStyle name="표준 2 3 2 2 6 2 2 2" xfId="21172"/>
    <cellStyle name="표준 2 3 2 2 6 2 3" xfId="7486"/>
    <cellStyle name="표준 2 3 2 2 6 2 3 2" xfId="18734"/>
    <cellStyle name="표준 2 3 2 2 6 2 4" xfId="5047"/>
    <cellStyle name="표준 2 3 2 2 6 2 4 2" xfId="16296"/>
    <cellStyle name="표준 2 3 2 2 6 2 5" xfId="3328"/>
    <cellStyle name="표준 2 3 2 2 6 2 5 2" xfId="14606"/>
    <cellStyle name="표준 2 3 2 2 6 2 6" xfId="13146"/>
    <cellStyle name="표준 2 3 2 2 6 3" xfId="1334"/>
    <cellStyle name="표준 2 3 2 2 6 3 2" xfId="8934"/>
    <cellStyle name="표준 2 3 2 2 6 3 2 2" xfId="20182"/>
    <cellStyle name="표준 2 3 2 2 6 3 3" xfId="2955"/>
    <cellStyle name="표준 2 3 2 2 6 3 3 2" xfId="14233"/>
    <cellStyle name="표준 2 3 2 2 6 3 4" xfId="12773"/>
    <cellStyle name="표준 2 3 2 2 6 4" xfId="6496"/>
    <cellStyle name="표준 2 3 2 2 6 4 2" xfId="17744"/>
    <cellStyle name="표준 2 3 2 2 6 5" xfId="4055"/>
    <cellStyle name="표준 2 3 2 2 6 5 2" xfId="15306"/>
    <cellStyle name="표준 2 3 2 2 6 6" xfId="1998"/>
    <cellStyle name="표준 2 3 2 2 6 6 2" xfId="13425"/>
    <cellStyle name="표준 2 3 2 2 6 7" xfId="11965"/>
    <cellStyle name="표준 2 3 2 2 7" xfId="619"/>
    <cellStyle name="표준 2 3 2 2 7 2" xfId="1424"/>
    <cellStyle name="표준 2 3 2 2 7 2 2" xfId="10395"/>
    <cellStyle name="표준 2 3 2 2 7 2 2 2" xfId="21643"/>
    <cellStyle name="표준 2 3 2 2 7 2 3" xfId="7957"/>
    <cellStyle name="표준 2 3 2 2 7 2 3 2" xfId="19205"/>
    <cellStyle name="표준 2 3 2 2 7 2 4" xfId="5518"/>
    <cellStyle name="표준 2 3 2 2 7 2 4 2" xfId="16767"/>
    <cellStyle name="표준 2 3 2 2 7 2 5" xfId="3038"/>
    <cellStyle name="표준 2 3 2 2 7 2 5 2" xfId="14316"/>
    <cellStyle name="표준 2 3 2 2 7 2 6" xfId="12856"/>
    <cellStyle name="표준 2 3 2 2 7 3" xfId="9405"/>
    <cellStyle name="표준 2 3 2 2 7 3 2" xfId="20653"/>
    <cellStyle name="표준 2 3 2 2 7 4" xfId="6967"/>
    <cellStyle name="표준 2 3 2 2 7 4 2" xfId="18215"/>
    <cellStyle name="표준 2 3 2 2 7 5" xfId="4528"/>
    <cellStyle name="표준 2 3 2 2 7 5 2" xfId="15777"/>
    <cellStyle name="표준 2 3 2 2 7 6" xfId="2291"/>
    <cellStyle name="표준 2 3 2 2 7 6 2" xfId="13710"/>
    <cellStyle name="표준 2 3 2 2 7 7" xfId="12250"/>
    <cellStyle name="표준 2 3 2 2 8" xfId="1029"/>
    <cellStyle name="표준 2 3 2 2 8 2" xfId="9472"/>
    <cellStyle name="표준 2 3 2 2 8 2 2" xfId="20720"/>
    <cellStyle name="표준 2 3 2 2 8 3" xfId="7034"/>
    <cellStyle name="표준 2 3 2 2 8 3 2" xfId="18282"/>
    <cellStyle name="표준 2 3 2 2 8 4" xfId="4595"/>
    <cellStyle name="표준 2 3 2 2 8 4 2" xfId="15844"/>
    <cellStyle name="표준 2 3 2 2 8 5" xfId="2650"/>
    <cellStyle name="표준 2 3 2 2 8 5 2" xfId="13928"/>
    <cellStyle name="표준 2 3 2 2 8 6" xfId="12468"/>
    <cellStyle name="표준 2 3 2 2 9" xfId="965"/>
    <cellStyle name="표준 2 3 2 2 9 2" xfId="10479"/>
    <cellStyle name="표준 2 3 2 2 9 2 2" xfId="21727"/>
    <cellStyle name="표준 2 3 2 2 9 3" xfId="8041"/>
    <cellStyle name="표준 2 3 2 2 9 3 2" xfId="19289"/>
    <cellStyle name="표준 2 3 2 2 9 4" xfId="5602"/>
    <cellStyle name="표준 2 3 2 2 9 4 2" xfId="16851"/>
    <cellStyle name="표준 2 3 2 2 9 5" xfId="2587"/>
    <cellStyle name="표준 2 3 2 2 9 5 2" xfId="13865"/>
    <cellStyle name="표준 2 3 2 2 9 6" xfId="12405"/>
    <cellStyle name="표준 2 3 2 20" xfId="1769"/>
    <cellStyle name="표준 2 3 2 20 2" xfId="13198"/>
    <cellStyle name="표준 2 3 2 21" xfId="11738"/>
    <cellStyle name="표준 2 3 2 3" xfId="72"/>
    <cellStyle name="표준 2 3 2 3 10" xfId="5709"/>
    <cellStyle name="표준 2 3 2 3 10 2" xfId="10586"/>
    <cellStyle name="표준 2 3 2 3 10 2 2" xfId="21834"/>
    <cellStyle name="표준 2 3 2 3 10 3" xfId="8148"/>
    <cellStyle name="표준 2 3 2 3 10 3 2" xfId="19396"/>
    <cellStyle name="표준 2 3 2 3 10 4" xfId="16958"/>
    <cellStyle name="표준 2 3 2 3 11" xfId="5792"/>
    <cellStyle name="표준 2 3 2 3 11 2" xfId="10669"/>
    <cellStyle name="표준 2 3 2 3 11 2 2" xfId="21917"/>
    <cellStyle name="표준 2 3 2 3 11 3" xfId="8231"/>
    <cellStyle name="표준 2 3 2 3 11 3 2" xfId="19479"/>
    <cellStyle name="표준 2 3 2 3 11 4" xfId="17041"/>
    <cellStyle name="표준 2 3 2 3 12" xfId="3595"/>
    <cellStyle name="표준 2 3 2 3 12 2" xfId="8494"/>
    <cellStyle name="표준 2 3 2 3 12 2 2" xfId="19742"/>
    <cellStyle name="표준 2 3 2 3 12 3" xfId="6056"/>
    <cellStyle name="표준 2 3 2 3 12 3 2" xfId="17304"/>
    <cellStyle name="표준 2 3 2 3 12 4" xfId="14866"/>
    <cellStyle name="표준 2 3 2 3 13" xfId="8315"/>
    <cellStyle name="표준 2 3 2 3 13 2" xfId="19563"/>
    <cellStyle name="표준 2 3 2 3 14" xfId="5877"/>
    <cellStyle name="표준 2 3 2 3 14 2" xfId="17125"/>
    <cellStyle name="표준 2 3 2 3 15" xfId="10761"/>
    <cellStyle name="표준 2 3 2 3 15 2" xfId="22009"/>
    <cellStyle name="표준 2 3 2 3 16" xfId="3409"/>
    <cellStyle name="표준 2 3 2 3 16 2" xfId="14687"/>
    <cellStyle name="표준 2 3 2 3 17" xfId="1788"/>
    <cellStyle name="표준 2 3 2 3 17 2" xfId="13217"/>
    <cellStyle name="표준 2 3 2 3 18" xfId="11757"/>
    <cellStyle name="표준 2 3 2 3 2" xfId="185"/>
    <cellStyle name="표준 2 3 2 3 2 10" xfId="3596"/>
    <cellStyle name="표준 2 3 2 3 2 10 2" xfId="8495"/>
    <cellStyle name="표준 2 3 2 3 2 10 2 2" xfId="19743"/>
    <cellStyle name="표준 2 3 2 3 2 10 3" xfId="6057"/>
    <cellStyle name="표준 2 3 2 3 2 10 3 2" xfId="17305"/>
    <cellStyle name="표준 2 3 2 3 2 10 4" xfId="14867"/>
    <cellStyle name="표준 2 3 2 3 2 11" xfId="8316"/>
    <cellStyle name="표준 2 3 2 3 2 11 2" xfId="19564"/>
    <cellStyle name="표준 2 3 2 3 2 12" xfId="5878"/>
    <cellStyle name="표준 2 3 2 3 2 12 2" xfId="17126"/>
    <cellStyle name="표준 2 3 2 3 2 13" xfId="10762"/>
    <cellStyle name="표준 2 3 2 3 2 13 2" xfId="22010"/>
    <cellStyle name="표준 2 3 2 3 2 14" xfId="3410"/>
    <cellStyle name="표준 2 3 2 3 2 14 2" xfId="14688"/>
    <cellStyle name="표준 2 3 2 3 2 15" xfId="1859"/>
    <cellStyle name="표준 2 3 2 3 2 15 2" xfId="13286"/>
    <cellStyle name="표준 2 3 2 3 2 16" xfId="11826"/>
    <cellStyle name="표준 2 3 2 3 2 2" xfId="297"/>
    <cellStyle name="표준 2 3 2 3 2 2 10" xfId="1969"/>
    <cellStyle name="표준 2 3 2 3 2 2 10 2" xfId="13396"/>
    <cellStyle name="표준 2 3 2 3 2 2 11" xfId="11936"/>
    <cellStyle name="표준 2 3 2 3 2 2 2" xfId="581"/>
    <cellStyle name="표준 2 3 2 3 2 2 2 2" xfId="1669"/>
    <cellStyle name="표준 2 3 2 3 2 2 2 2 2" xfId="5426"/>
    <cellStyle name="표준 2 3 2 3 2 2 2 2 2 2" xfId="10303"/>
    <cellStyle name="표준 2 3 2 3 2 2 2 2 2 2 2" xfId="21551"/>
    <cellStyle name="표준 2 3 2 3 2 2 2 2 2 3" xfId="7865"/>
    <cellStyle name="표준 2 3 2 3 2 2 2 2 2 3 2" xfId="19113"/>
    <cellStyle name="표준 2 3 2 3 2 2 2 2 2 4" xfId="16675"/>
    <cellStyle name="표준 2 3 2 3 2 2 2 2 3" xfId="9313"/>
    <cellStyle name="표준 2 3 2 3 2 2 2 2 3 2" xfId="20561"/>
    <cellStyle name="표준 2 3 2 3 2 2 2 2 4" xfId="6875"/>
    <cellStyle name="표준 2 3 2 3 2 2 2 2 4 2" xfId="18123"/>
    <cellStyle name="표준 2 3 2 3 2 2 2 2 5" xfId="4434"/>
    <cellStyle name="표준 2 3 2 3 2 2 2 2 5 2" xfId="15685"/>
    <cellStyle name="표준 2 3 2 3 2 2 2 2 6" xfId="3281"/>
    <cellStyle name="표준 2 3 2 3 2 2 2 2 6 2" xfId="14559"/>
    <cellStyle name="표준 2 3 2 3 2 2 2 2 7" xfId="13099"/>
    <cellStyle name="표준 2 3 2 3 2 2 2 3" xfId="4973"/>
    <cellStyle name="표준 2 3 2 3 2 2 2 3 2" xfId="9850"/>
    <cellStyle name="표준 2 3 2 3 2 2 2 3 2 2" xfId="21098"/>
    <cellStyle name="표준 2 3 2 3 2 2 2 3 3" xfId="7412"/>
    <cellStyle name="표준 2 3 2 3 2 2 2 3 3 2" xfId="18660"/>
    <cellStyle name="표준 2 3 2 3 2 2 2 3 4" xfId="16222"/>
    <cellStyle name="표준 2 3 2 3 2 2 2 4" xfId="8860"/>
    <cellStyle name="표준 2 3 2 3 2 2 2 4 2" xfId="20108"/>
    <cellStyle name="표준 2 3 2 3 2 2 2 5" xfId="6422"/>
    <cellStyle name="표준 2 3 2 3 2 2 2 5 2" xfId="17670"/>
    <cellStyle name="표준 2 3 2 3 2 2 2 6" xfId="11030"/>
    <cellStyle name="표준 2 3 2 3 2 2 2 6 2" xfId="22277"/>
    <cellStyle name="표준 2 3 2 3 2 2 2 7" xfId="3981"/>
    <cellStyle name="표준 2 3 2 3 2 2 2 7 2" xfId="15232"/>
    <cellStyle name="표준 2 3 2 3 2 2 2 8" xfId="2253"/>
    <cellStyle name="표준 2 3 2 3 2 2 2 8 2" xfId="13680"/>
    <cellStyle name="표준 2 3 2 3 2 2 2 9" xfId="12220"/>
    <cellStyle name="표준 2 3 2 3 2 2 3" xfId="773"/>
    <cellStyle name="표준 2 3 2 3 2 2 3 2" xfId="5199"/>
    <cellStyle name="표준 2 3 2 3 2 2 3 2 2" xfId="10076"/>
    <cellStyle name="표준 2 3 2 3 2 2 3 2 2 2" xfId="21324"/>
    <cellStyle name="표준 2 3 2 3 2 2 3 2 3" xfId="7638"/>
    <cellStyle name="표준 2 3 2 3 2 2 3 2 3 2" xfId="18886"/>
    <cellStyle name="표준 2 3 2 3 2 2 3 2 4" xfId="16448"/>
    <cellStyle name="표준 2 3 2 3 2 2 3 3" xfId="9086"/>
    <cellStyle name="표준 2 3 2 3 2 2 3 3 2" xfId="20334"/>
    <cellStyle name="표준 2 3 2 3 2 2 3 4" xfId="6648"/>
    <cellStyle name="표준 2 3 2 3 2 2 3 4 2" xfId="17896"/>
    <cellStyle name="표준 2 3 2 3 2 2 3 5" xfId="4207"/>
    <cellStyle name="표준 2 3 2 3 2 2 3 5 2" xfId="15458"/>
    <cellStyle name="표준 2 3 2 3 2 2 3 6" xfId="2400"/>
    <cellStyle name="표준 2 3 2 3 2 2 3 6 2" xfId="13795"/>
    <cellStyle name="표준 2 3 2 3 2 2 3 7" xfId="12335"/>
    <cellStyle name="표준 2 3 2 3 2 2 4" xfId="1284"/>
    <cellStyle name="표준 2 3 2 3 2 2 4 2" xfId="9624"/>
    <cellStyle name="표준 2 3 2 3 2 2 4 2 2" xfId="20872"/>
    <cellStyle name="표준 2 3 2 3 2 2 4 3" xfId="7186"/>
    <cellStyle name="표준 2 3 2 3 2 2 4 3 2" xfId="18434"/>
    <cellStyle name="표준 2 3 2 3 2 2 4 4" xfId="4747"/>
    <cellStyle name="표준 2 3 2 3 2 2 4 4 2" xfId="15996"/>
    <cellStyle name="표준 2 3 2 3 2 2 4 5" xfId="2905"/>
    <cellStyle name="표준 2 3 2 3 2 2 4 5 2" xfId="14183"/>
    <cellStyle name="표준 2 3 2 3 2 2 4 6" xfId="12723"/>
    <cellStyle name="표준 2 3 2 3 2 2 5" xfId="3755"/>
    <cellStyle name="표준 2 3 2 3 2 2 5 2" xfId="8634"/>
    <cellStyle name="표준 2 3 2 3 2 2 5 2 2" xfId="19882"/>
    <cellStyle name="표준 2 3 2 3 2 2 5 3" xfId="6196"/>
    <cellStyle name="표준 2 3 2 3 2 2 5 3 2" xfId="17444"/>
    <cellStyle name="표준 2 3 2 3 2 2 5 4" xfId="15006"/>
    <cellStyle name="표준 2 3 2 3 2 2 6" xfId="8399"/>
    <cellStyle name="표준 2 3 2 3 2 2 6 2" xfId="19647"/>
    <cellStyle name="표준 2 3 2 3 2 2 7" xfId="5961"/>
    <cellStyle name="표준 2 3 2 3 2 2 7 2" xfId="17209"/>
    <cellStyle name="표준 2 3 2 3 2 2 8" xfId="10845"/>
    <cellStyle name="표준 2 3 2 3 2 2 8 2" xfId="22093"/>
    <cellStyle name="표준 2 3 2 3 2 2 9" xfId="3499"/>
    <cellStyle name="표준 2 3 2 3 2 2 9 2" xfId="14771"/>
    <cellStyle name="표준 2 3 2 3 2 3" xfId="471"/>
    <cellStyle name="표준 2 3 2 3 2 3 2" xfId="1564"/>
    <cellStyle name="표준 2 3 2 3 2 3 2 2" xfId="5340"/>
    <cellStyle name="표준 2 3 2 3 2 3 2 2 2" xfId="10217"/>
    <cellStyle name="표준 2 3 2 3 2 3 2 2 2 2" xfId="21465"/>
    <cellStyle name="표준 2 3 2 3 2 3 2 2 3" xfId="7779"/>
    <cellStyle name="표준 2 3 2 3 2 3 2 2 3 2" xfId="19027"/>
    <cellStyle name="표준 2 3 2 3 2 3 2 2 4" xfId="16589"/>
    <cellStyle name="표준 2 3 2 3 2 3 2 3" xfId="9227"/>
    <cellStyle name="표준 2 3 2 3 2 3 2 3 2" xfId="20475"/>
    <cellStyle name="표준 2 3 2 3 2 3 2 4" xfId="6789"/>
    <cellStyle name="표준 2 3 2 3 2 3 2 4 2" xfId="18037"/>
    <cellStyle name="표준 2 3 2 3 2 3 2 5" xfId="4348"/>
    <cellStyle name="표준 2 3 2 3 2 3 2 5 2" xfId="15599"/>
    <cellStyle name="표준 2 3 2 3 2 3 2 6" xfId="3176"/>
    <cellStyle name="표준 2 3 2 3 2 3 2 6 2" xfId="14454"/>
    <cellStyle name="표준 2 3 2 3 2 3 2 7" xfId="12994"/>
    <cellStyle name="표준 2 3 2 3 2 3 3" xfId="1174"/>
    <cellStyle name="표준 2 3 2 3 2 3 3 2" xfId="9764"/>
    <cellStyle name="표준 2 3 2 3 2 3 3 2 2" xfId="21012"/>
    <cellStyle name="표준 2 3 2 3 2 3 3 3" xfId="7326"/>
    <cellStyle name="표준 2 3 2 3 2 3 3 3 2" xfId="18574"/>
    <cellStyle name="표준 2 3 2 3 2 3 3 4" xfId="4887"/>
    <cellStyle name="표준 2 3 2 3 2 3 3 4 2" xfId="16136"/>
    <cellStyle name="표준 2 3 2 3 2 3 3 5" xfId="2795"/>
    <cellStyle name="표준 2 3 2 3 2 3 3 5 2" xfId="14073"/>
    <cellStyle name="표준 2 3 2 3 2 3 3 6" xfId="12613"/>
    <cellStyle name="표준 2 3 2 3 2 3 4" xfId="8774"/>
    <cellStyle name="표준 2 3 2 3 2 3 4 2" xfId="20022"/>
    <cellStyle name="표준 2 3 2 3 2 3 5" xfId="6336"/>
    <cellStyle name="표준 2 3 2 3 2 3 5 2" xfId="17584"/>
    <cellStyle name="표준 2 3 2 3 2 3 6" xfId="10947"/>
    <cellStyle name="표준 2 3 2 3 2 3 6 2" xfId="22194"/>
    <cellStyle name="표준 2 3 2 3 2 3 7" xfId="3895"/>
    <cellStyle name="표준 2 3 2 3 2 3 7 2" xfId="15146"/>
    <cellStyle name="표준 2 3 2 3 2 3 8" xfId="2143"/>
    <cellStyle name="표준 2 3 2 3 2 3 8 2" xfId="13570"/>
    <cellStyle name="표준 2 3 2 3 2 3 9" xfId="12110"/>
    <cellStyle name="표준 2 3 2 3 2 4" xfId="361"/>
    <cellStyle name="표준 2 3 2 3 2 4 2" xfId="1718"/>
    <cellStyle name="표준 2 3 2 3 2 4 2 2" xfId="9990"/>
    <cellStyle name="표준 2 3 2 3 2 4 2 2 2" xfId="21238"/>
    <cellStyle name="표준 2 3 2 3 2 4 2 3" xfId="7552"/>
    <cellStyle name="표준 2 3 2 3 2 4 2 3 2" xfId="18800"/>
    <cellStyle name="표준 2 3 2 3 2 4 2 4" xfId="5113"/>
    <cellStyle name="표준 2 3 2 3 2 4 2 4 2" xfId="16362"/>
    <cellStyle name="표준 2 3 2 3 2 4 2 5" xfId="3330"/>
    <cellStyle name="표준 2 3 2 3 2 4 2 5 2" xfId="14608"/>
    <cellStyle name="표준 2 3 2 3 2 4 2 6" xfId="13148"/>
    <cellStyle name="표준 2 3 2 3 2 4 3" xfId="1336"/>
    <cellStyle name="표준 2 3 2 3 2 4 3 2" xfId="9000"/>
    <cellStyle name="표준 2 3 2 3 2 4 3 2 2" xfId="20248"/>
    <cellStyle name="표준 2 3 2 3 2 4 3 3" xfId="2957"/>
    <cellStyle name="표준 2 3 2 3 2 4 3 3 2" xfId="14235"/>
    <cellStyle name="표준 2 3 2 3 2 4 3 4" xfId="12775"/>
    <cellStyle name="표준 2 3 2 3 2 4 4" xfId="6562"/>
    <cellStyle name="표준 2 3 2 3 2 4 4 2" xfId="17810"/>
    <cellStyle name="표준 2 3 2 3 2 4 5" xfId="4121"/>
    <cellStyle name="표준 2 3 2 3 2 4 5 2" xfId="15372"/>
    <cellStyle name="표준 2 3 2 3 2 4 6" xfId="2033"/>
    <cellStyle name="표준 2 3 2 3 2 4 6 2" xfId="13460"/>
    <cellStyle name="표준 2 3 2 3 2 4 7" xfId="12000"/>
    <cellStyle name="표준 2 3 2 3 2 5" xfId="704"/>
    <cellStyle name="표준 2 3 2 3 2 5 2" xfId="1426"/>
    <cellStyle name="표준 2 3 2 3 2 5 2 2" xfId="10397"/>
    <cellStyle name="표준 2 3 2 3 2 5 2 2 2" xfId="21645"/>
    <cellStyle name="표준 2 3 2 3 2 5 2 3" xfId="7959"/>
    <cellStyle name="표준 2 3 2 3 2 5 2 3 2" xfId="19207"/>
    <cellStyle name="표준 2 3 2 3 2 5 2 4" xfId="5520"/>
    <cellStyle name="표준 2 3 2 3 2 5 2 4 2" xfId="16769"/>
    <cellStyle name="표준 2 3 2 3 2 5 2 5" xfId="3040"/>
    <cellStyle name="표준 2 3 2 3 2 5 2 5 2" xfId="14318"/>
    <cellStyle name="표준 2 3 2 3 2 5 2 6" xfId="12858"/>
    <cellStyle name="표준 2 3 2 3 2 5 3" xfId="9407"/>
    <cellStyle name="표준 2 3 2 3 2 5 3 2" xfId="20655"/>
    <cellStyle name="표준 2 3 2 3 2 5 4" xfId="6969"/>
    <cellStyle name="표준 2 3 2 3 2 5 4 2" xfId="18217"/>
    <cellStyle name="표준 2 3 2 3 2 5 5" xfId="4530"/>
    <cellStyle name="표준 2 3 2 3 2 5 5 2" xfId="15779"/>
    <cellStyle name="표준 2 3 2 3 2 5 6" xfId="2336"/>
    <cellStyle name="표준 2 3 2 3 2 5 6 2" xfId="13749"/>
    <cellStyle name="표준 2 3 2 3 2 5 7" xfId="12289"/>
    <cellStyle name="표준 2 3 2 3 2 6" xfId="1064"/>
    <cellStyle name="표준 2 3 2 3 2 6 2" xfId="9538"/>
    <cellStyle name="표준 2 3 2 3 2 6 2 2" xfId="20786"/>
    <cellStyle name="표준 2 3 2 3 2 6 3" xfId="7100"/>
    <cellStyle name="표준 2 3 2 3 2 6 3 2" xfId="18348"/>
    <cellStyle name="표준 2 3 2 3 2 6 4" xfId="4661"/>
    <cellStyle name="표준 2 3 2 3 2 6 4 2" xfId="15910"/>
    <cellStyle name="표준 2 3 2 3 2 6 5" xfId="2685"/>
    <cellStyle name="표준 2 3 2 3 2 6 5 2" xfId="13963"/>
    <cellStyle name="표준 2 3 2 3 2 6 6" xfId="12503"/>
    <cellStyle name="표준 2 3 2 3 2 7" xfId="1000"/>
    <cellStyle name="표준 2 3 2 3 2 7 2" xfId="10481"/>
    <cellStyle name="표준 2 3 2 3 2 7 2 2" xfId="21729"/>
    <cellStyle name="표준 2 3 2 3 2 7 3" xfId="8043"/>
    <cellStyle name="표준 2 3 2 3 2 7 3 2" xfId="19291"/>
    <cellStyle name="표준 2 3 2 3 2 7 4" xfId="5604"/>
    <cellStyle name="표준 2 3 2 3 2 7 4 2" xfId="16853"/>
    <cellStyle name="표준 2 3 2 3 2 7 5" xfId="2621"/>
    <cellStyle name="표준 2 3 2 3 2 7 5 2" xfId="13899"/>
    <cellStyle name="표준 2 3 2 3 2 7 6" xfId="12439"/>
    <cellStyle name="표준 2 3 2 3 2 8" xfId="5710"/>
    <cellStyle name="표준 2 3 2 3 2 8 2" xfId="10587"/>
    <cellStyle name="표준 2 3 2 3 2 8 2 2" xfId="21835"/>
    <cellStyle name="표준 2 3 2 3 2 8 3" xfId="8149"/>
    <cellStyle name="표준 2 3 2 3 2 8 3 2" xfId="19397"/>
    <cellStyle name="표준 2 3 2 3 2 8 4" xfId="16959"/>
    <cellStyle name="표준 2 3 2 3 2 9" xfId="5793"/>
    <cellStyle name="표준 2 3 2 3 2 9 2" xfId="10670"/>
    <cellStyle name="표준 2 3 2 3 2 9 2 2" xfId="21918"/>
    <cellStyle name="표준 2 3 2 3 2 9 3" xfId="8232"/>
    <cellStyle name="표준 2 3 2 3 2 9 3 2" xfId="19480"/>
    <cellStyle name="표준 2 3 2 3 2 9 4" xfId="17042"/>
    <cellStyle name="표준 2 3 2 3 3" xfId="113"/>
    <cellStyle name="표준 2 3 2 3 3 10" xfId="1829"/>
    <cellStyle name="표준 2 3 2 3 3 10 2" xfId="13258"/>
    <cellStyle name="표준 2 3 2 3 3 11" xfId="11798"/>
    <cellStyle name="표준 2 3 2 3 3 2" xfId="269"/>
    <cellStyle name="표준 2 3 2 3 3 2 2" xfId="553"/>
    <cellStyle name="표준 2 3 2 3 3 2 2 2" xfId="1641"/>
    <cellStyle name="표준 2 3 2 3 3 2 2 2 2" xfId="10216"/>
    <cellStyle name="표준 2 3 2 3 3 2 2 2 2 2" xfId="21464"/>
    <cellStyle name="표준 2 3 2 3 3 2 2 2 3" xfId="7778"/>
    <cellStyle name="표준 2 3 2 3 3 2 2 2 3 2" xfId="19026"/>
    <cellStyle name="표준 2 3 2 3 3 2 2 2 4" xfId="5339"/>
    <cellStyle name="표준 2 3 2 3 3 2 2 2 4 2" xfId="16588"/>
    <cellStyle name="표준 2 3 2 3 3 2 2 2 5" xfId="3253"/>
    <cellStyle name="표준 2 3 2 3 3 2 2 2 5 2" xfId="14531"/>
    <cellStyle name="표준 2 3 2 3 3 2 2 2 6" xfId="13071"/>
    <cellStyle name="표준 2 3 2 3 3 2 2 3" xfId="9226"/>
    <cellStyle name="표준 2 3 2 3 3 2 2 3 2" xfId="20474"/>
    <cellStyle name="표준 2 3 2 3 3 2 2 4" xfId="6788"/>
    <cellStyle name="표준 2 3 2 3 3 2 2 4 2" xfId="18036"/>
    <cellStyle name="표준 2 3 2 3 3 2 2 5" xfId="4347"/>
    <cellStyle name="표준 2 3 2 3 3 2 2 5 2" xfId="15598"/>
    <cellStyle name="표준 2 3 2 3 3 2 2 6" xfId="2225"/>
    <cellStyle name="표준 2 3 2 3 3 2 2 6 2" xfId="13652"/>
    <cellStyle name="표준 2 3 2 3 3 2 2 7" xfId="12192"/>
    <cellStyle name="표준 2 3 2 3 3 2 3" xfId="1256"/>
    <cellStyle name="표준 2 3 2 3 3 2 3 2" xfId="9763"/>
    <cellStyle name="표준 2 3 2 3 3 2 3 2 2" xfId="21011"/>
    <cellStyle name="표준 2 3 2 3 3 2 3 3" xfId="7325"/>
    <cellStyle name="표준 2 3 2 3 3 2 3 3 2" xfId="18573"/>
    <cellStyle name="표준 2 3 2 3 3 2 3 4" xfId="4886"/>
    <cellStyle name="표준 2 3 2 3 3 2 3 4 2" xfId="16135"/>
    <cellStyle name="표준 2 3 2 3 3 2 3 5" xfId="2877"/>
    <cellStyle name="표준 2 3 2 3 3 2 3 5 2" xfId="14155"/>
    <cellStyle name="표준 2 3 2 3 3 2 3 6" xfId="12695"/>
    <cellStyle name="표준 2 3 2 3 3 2 4" xfId="8773"/>
    <cellStyle name="표준 2 3 2 3 3 2 4 2" xfId="20021"/>
    <cellStyle name="표준 2 3 2 3 3 2 5" xfId="6335"/>
    <cellStyle name="표준 2 3 2 3 3 2 5 2" xfId="17583"/>
    <cellStyle name="표준 2 3 2 3 3 2 6" xfId="11029"/>
    <cellStyle name="표준 2 3 2 3 3 2 6 2" xfId="22276"/>
    <cellStyle name="표준 2 3 2 3 3 2 7" xfId="3894"/>
    <cellStyle name="표준 2 3 2 3 3 2 7 2" xfId="15145"/>
    <cellStyle name="표준 2 3 2 3 3 2 8" xfId="1941"/>
    <cellStyle name="표준 2 3 2 3 3 2 8 2" xfId="13368"/>
    <cellStyle name="표준 2 3 2 3 3 2 9" xfId="11908"/>
    <cellStyle name="표준 2 3 2 3 3 3" xfId="443"/>
    <cellStyle name="표준 2 3 2 3 3 3 2" xfId="1536"/>
    <cellStyle name="표준 2 3 2 3 3 3 2 2" xfId="9989"/>
    <cellStyle name="표준 2 3 2 3 3 3 2 2 2" xfId="21237"/>
    <cellStyle name="표준 2 3 2 3 3 3 2 3" xfId="7551"/>
    <cellStyle name="표준 2 3 2 3 3 3 2 3 2" xfId="18799"/>
    <cellStyle name="표준 2 3 2 3 3 3 2 4" xfId="5112"/>
    <cellStyle name="표준 2 3 2 3 3 3 2 4 2" xfId="16361"/>
    <cellStyle name="표준 2 3 2 3 3 3 2 5" xfId="3148"/>
    <cellStyle name="표준 2 3 2 3 3 3 2 5 2" xfId="14426"/>
    <cellStyle name="표준 2 3 2 3 3 3 2 6" xfId="12966"/>
    <cellStyle name="표준 2 3 2 3 3 3 3" xfId="8999"/>
    <cellStyle name="표준 2 3 2 3 3 3 3 2" xfId="20247"/>
    <cellStyle name="표준 2 3 2 3 3 3 4" xfId="6561"/>
    <cellStyle name="표준 2 3 2 3 3 3 4 2" xfId="17809"/>
    <cellStyle name="표준 2 3 2 3 3 3 5" xfId="4120"/>
    <cellStyle name="표준 2 3 2 3 3 3 5 2" xfId="15371"/>
    <cellStyle name="표준 2 3 2 3 3 3 6" xfId="2115"/>
    <cellStyle name="표준 2 3 2 3 3 3 6 2" xfId="13542"/>
    <cellStyle name="표준 2 3 2 3 3 3 7" xfId="12082"/>
    <cellStyle name="표준 2 3 2 3 3 4" xfId="772"/>
    <cellStyle name="표준 2 3 2 3 3 4 2" xfId="9537"/>
    <cellStyle name="표준 2 3 2 3 3 4 2 2" xfId="20785"/>
    <cellStyle name="표준 2 3 2 3 3 4 3" xfId="7099"/>
    <cellStyle name="표준 2 3 2 3 3 4 3 2" xfId="18347"/>
    <cellStyle name="표준 2 3 2 3 3 4 4" xfId="4660"/>
    <cellStyle name="표준 2 3 2 3 3 4 4 2" xfId="15909"/>
    <cellStyle name="표준 2 3 2 3 3 4 5" xfId="2399"/>
    <cellStyle name="표준 2 3 2 3 3 4 5 2" xfId="13794"/>
    <cellStyle name="표준 2 3 2 3 3 4 6" xfId="12334"/>
    <cellStyle name="표준 2 3 2 3 3 5" xfId="1146"/>
    <cellStyle name="표준 2 3 2 3 3 5 2" xfId="8571"/>
    <cellStyle name="표준 2 3 2 3 3 5 2 2" xfId="19819"/>
    <cellStyle name="표준 2 3 2 3 3 5 3" xfId="6133"/>
    <cellStyle name="표준 2 3 2 3 3 5 3 2" xfId="17381"/>
    <cellStyle name="표준 2 3 2 3 3 5 4" xfId="3692"/>
    <cellStyle name="표준 2 3 2 3 3 5 4 2" xfId="14943"/>
    <cellStyle name="표준 2 3 2 3 3 5 5" xfId="2767"/>
    <cellStyle name="표준 2 3 2 3 3 5 5 2" xfId="14045"/>
    <cellStyle name="표준 2 3 2 3 3 5 6" xfId="12585"/>
    <cellStyle name="표준 2 3 2 3 3 6" xfId="8398"/>
    <cellStyle name="표준 2 3 2 3 3 6 2" xfId="19646"/>
    <cellStyle name="표준 2 3 2 3 3 7" xfId="5960"/>
    <cellStyle name="표준 2 3 2 3 3 7 2" xfId="17208"/>
    <cellStyle name="표준 2 3 2 3 3 8" xfId="10844"/>
    <cellStyle name="표준 2 3 2 3 3 8 2" xfId="22092"/>
    <cellStyle name="표준 2 3 2 3 3 9" xfId="3498"/>
    <cellStyle name="표준 2 3 2 3 3 9 2" xfId="14770"/>
    <cellStyle name="표준 2 3 2 3 4" xfId="228"/>
    <cellStyle name="표준 2 3 2 3 4 10" xfId="11867"/>
    <cellStyle name="표준 2 3 2 3 4 2" xfId="512"/>
    <cellStyle name="표준 2 3 2 3 4 2 2" xfId="1600"/>
    <cellStyle name="표준 2 3 2 3 4 2 2 2" xfId="5425"/>
    <cellStyle name="표준 2 3 2 3 4 2 2 2 2" xfId="10302"/>
    <cellStyle name="표준 2 3 2 3 4 2 2 2 2 2" xfId="21550"/>
    <cellStyle name="표준 2 3 2 3 4 2 2 2 3" xfId="7864"/>
    <cellStyle name="표준 2 3 2 3 4 2 2 2 3 2" xfId="19112"/>
    <cellStyle name="표준 2 3 2 3 4 2 2 2 4" xfId="16674"/>
    <cellStyle name="표준 2 3 2 3 4 2 2 3" xfId="9312"/>
    <cellStyle name="표준 2 3 2 3 4 2 2 3 2" xfId="20560"/>
    <cellStyle name="표준 2 3 2 3 4 2 2 4" xfId="6874"/>
    <cellStyle name="표준 2 3 2 3 4 2 2 4 2" xfId="18122"/>
    <cellStyle name="표준 2 3 2 3 4 2 2 5" xfId="4433"/>
    <cellStyle name="표준 2 3 2 3 4 2 2 5 2" xfId="15684"/>
    <cellStyle name="표준 2 3 2 3 4 2 2 6" xfId="3212"/>
    <cellStyle name="표준 2 3 2 3 4 2 2 6 2" xfId="14490"/>
    <cellStyle name="표준 2 3 2 3 4 2 2 7" xfId="13030"/>
    <cellStyle name="표준 2 3 2 3 4 2 3" xfId="4972"/>
    <cellStyle name="표준 2 3 2 3 4 2 3 2" xfId="9849"/>
    <cellStyle name="표준 2 3 2 3 4 2 3 2 2" xfId="21097"/>
    <cellStyle name="표준 2 3 2 3 4 2 3 3" xfId="7411"/>
    <cellStyle name="표준 2 3 2 3 4 2 3 3 2" xfId="18659"/>
    <cellStyle name="표준 2 3 2 3 4 2 3 4" xfId="16221"/>
    <cellStyle name="표준 2 3 2 3 4 2 4" xfId="8859"/>
    <cellStyle name="표준 2 3 2 3 4 2 4 2" xfId="20107"/>
    <cellStyle name="표준 2 3 2 3 4 2 5" xfId="6421"/>
    <cellStyle name="표준 2 3 2 3 4 2 5 2" xfId="17669"/>
    <cellStyle name="표준 2 3 2 3 4 2 6" xfId="3980"/>
    <cellStyle name="표준 2 3 2 3 4 2 6 2" xfId="15231"/>
    <cellStyle name="표준 2 3 2 3 4 2 7" xfId="2184"/>
    <cellStyle name="표준 2 3 2 3 4 2 7 2" xfId="13611"/>
    <cellStyle name="표준 2 3 2 3 4 2 8" xfId="12151"/>
    <cellStyle name="표준 2 3 2 3 4 3" xfId="1215"/>
    <cellStyle name="표준 2 3 2 3 4 3 2" xfId="5198"/>
    <cellStyle name="표준 2 3 2 3 4 3 2 2" xfId="10075"/>
    <cellStyle name="표준 2 3 2 3 4 3 2 2 2" xfId="21323"/>
    <cellStyle name="표준 2 3 2 3 4 3 2 3" xfId="7637"/>
    <cellStyle name="표준 2 3 2 3 4 3 2 3 2" xfId="18885"/>
    <cellStyle name="표준 2 3 2 3 4 3 2 4" xfId="16447"/>
    <cellStyle name="표준 2 3 2 3 4 3 3" xfId="9085"/>
    <cellStyle name="표준 2 3 2 3 4 3 3 2" xfId="20333"/>
    <cellStyle name="표준 2 3 2 3 4 3 4" xfId="6647"/>
    <cellStyle name="표준 2 3 2 3 4 3 4 2" xfId="17895"/>
    <cellStyle name="표준 2 3 2 3 4 3 5" xfId="4206"/>
    <cellStyle name="표준 2 3 2 3 4 3 5 2" xfId="15457"/>
    <cellStyle name="표준 2 3 2 3 4 3 6" xfId="2836"/>
    <cellStyle name="표준 2 3 2 3 4 3 6 2" xfId="14114"/>
    <cellStyle name="표준 2 3 2 3 4 3 7" xfId="12654"/>
    <cellStyle name="표준 2 3 2 3 4 4" xfId="4746"/>
    <cellStyle name="표준 2 3 2 3 4 4 2" xfId="9623"/>
    <cellStyle name="표준 2 3 2 3 4 4 2 2" xfId="20871"/>
    <cellStyle name="표준 2 3 2 3 4 4 3" xfId="7185"/>
    <cellStyle name="표준 2 3 2 3 4 4 3 2" xfId="18433"/>
    <cellStyle name="표준 2 3 2 3 4 4 4" xfId="15995"/>
    <cellStyle name="표준 2 3 2 3 4 5" xfId="8633"/>
    <cellStyle name="표준 2 3 2 3 4 5 2" xfId="19881"/>
    <cellStyle name="표준 2 3 2 3 4 6" xfId="6195"/>
    <cellStyle name="표준 2 3 2 3 4 6 2" xfId="17443"/>
    <cellStyle name="표준 2 3 2 3 4 7" xfId="10946"/>
    <cellStyle name="표준 2 3 2 3 4 7 2" xfId="22193"/>
    <cellStyle name="표준 2 3 2 3 4 8" xfId="3754"/>
    <cellStyle name="표준 2 3 2 3 4 8 2" xfId="15005"/>
    <cellStyle name="표준 2 3 2 3 4 9" xfId="1900"/>
    <cellStyle name="표준 2 3 2 3 4 9 2" xfId="13327"/>
    <cellStyle name="표준 2 3 2 3 5" xfId="402"/>
    <cellStyle name="표준 2 3 2 3 5 2" xfId="1500"/>
    <cellStyle name="표준 2 3 2 3 5 2 2" xfId="5286"/>
    <cellStyle name="표준 2 3 2 3 5 2 2 2" xfId="10163"/>
    <cellStyle name="표준 2 3 2 3 5 2 2 2 2" xfId="21411"/>
    <cellStyle name="표준 2 3 2 3 5 2 2 3" xfId="7725"/>
    <cellStyle name="표준 2 3 2 3 5 2 2 3 2" xfId="18973"/>
    <cellStyle name="표준 2 3 2 3 5 2 2 4" xfId="16535"/>
    <cellStyle name="표준 2 3 2 3 5 2 3" xfId="9173"/>
    <cellStyle name="표준 2 3 2 3 5 2 3 2" xfId="20421"/>
    <cellStyle name="표준 2 3 2 3 5 2 4" xfId="6735"/>
    <cellStyle name="표준 2 3 2 3 5 2 4 2" xfId="17983"/>
    <cellStyle name="표준 2 3 2 3 5 2 5" xfId="4294"/>
    <cellStyle name="표준 2 3 2 3 5 2 5 2" xfId="15545"/>
    <cellStyle name="표준 2 3 2 3 5 2 6" xfId="3112"/>
    <cellStyle name="표준 2 3 2 3 5 2 6 2" xfId="14390"/>
    <cellStyle name="표준 2 3 2 3 5 2 7" xfId="12930"/>
    <cellStyle name="표준 2 3 2 3 5 3" xfId="1105"/>
    <cellStyle name="표준 2 3 2 3 5 3 2" xfId="9710"/>
    <cellStyle name="표준 2 3 2 3 5 3 2 2" xfId="20958"/>
    <cellStyle name="표준 2 3 2 3 5 3 3" xfId="7272"/>
    <cellStyle name="표준 2 3 2 3 5 3 3 2" xfId="18520"/>
    <cellStyle name="표준 2 3 2 3 5 3 4" xfId="4833"/>
    <cellStyle name="표준 2 3 2 3 5 3 4 2" xfId="16082"/>
    <cellStyle name="표준 2 3 2 3 5 3 5" xfId="2726"/>
    <cellStyle name="표준 2 3 2 3 5 3 5 2" xfId="14004"/>
    <cellStyle name="표준 2 3 2 3 5 3 6" xfId="12544"/>
    <cellStyle name="표준 2 3 2 3 5 4" xfId="8720"/>
    <cellStyle name="표준 2 3 2 3 5 4 2" xfId="19968"/>
    <cellStyle name="표준 2 3 2 3 5 5" xfId="6282"/>
    <cellStyle name="표준 2 3 2 3 5 5 2" xfId="17530"/>
    <cellStyle name="표준 2 3 2 3 5 6" xfId="3841"/>
    <cellStyle name="표준 2 3 2 3 5 6 2" xfId="15092"/>
    <cellStyle name="표준 2 3 2 3 5 7" xfId="2074"/>
    <cellStyle name="표준 2 3 2 3 5 7 2" xfId="13501"/>
    <cellStyle name="표준 2 3 2 3 5 8" xfId="12041"/>
    <cellStyle name="표준 2 3 2 3 6" xfId="333"/>
    <cellStyle name="표준 2 3 2 3 6 2" xfId="1717"/>
    <cellStyle name="표준 2 3 2 3 6 2 2" xfId="9936"/>
    <cellStyle name="표준 2 3 2 3 6 2 2 2" xfId="21184"/>
    <cellStyle name="표준 2 3 2 3 6 2 3" xfId="7498"/>
    <cellStyle name="표준 2 3 2 3 6 2 3 2" xfId="18746"/>
    <cellStyle name="표준 2 3 2 3 6 2 4" xfId="5059"/>
    <cellStyle name="표준 2 3 2 3 6 2 4 2" xfId="16308"/>
    <cellStyle name="표준 2 3 2 3 6 2 5" xfId="3329"/>
    <cellStyle name="표준 2 3 2 3 6 2 5 2" xfId="14607"/>
    <cellStyle name="표준 2 3 2 3 6 2 6" xfId="13147"/>
    <cellStyle name="표준 2 3 2 3 6 3" xfId="1335"/>
    <cellStyle name="표준 2 3 2 3 6 3 2" xfId="8946"/>
    <cellStyle name="표준 2 3 2 3 6 3 2 2" xfId="20194"/>
    <cellStyle name="표준 2 3 2 3 6 3 3" xfId="2956"/>
    <cellStyle name="표준 2 3 2 3 6 3 3 2" xfId="14234"/>
    <cellStyle name="표준 2 3 2 3 6 3 4" xfId="12774"/>
    <cellStyle name="표준 2 3 2 3 6 4" xfId="6508"/>
    <cellStyle name="표준 2 3 2 3 6 4 2" xfId="17756"/>
    <cellStyle name="표준 2 3 2 3 6 5" xfId="4067"/>
    <cellStyle name="표준 2 3 2 3 6 5 2" xfId="15318"/>
    <cellStyle name="표준 2 3 2 3 6 6" xfId="2005"/>
    <cellStyle name="표준 2 3 2 3 6 6 2" xfId="13432"/>
    <cellStyle name="표준 2 3 2 3 6 7" xfId="11972"/>
    <cellStyle name="표준 2 3 2 3 7" xfId="626"/>
    <cellStyle name="표준 2 3 2 3 7 2" xfId="1425"/>
    <cellStyle name="표준 2 3 2 3 7 2 2" xfId="10396"/>
    <cellStyle name="표준 2 3 2 3 7 2 2 2" xfId="21644"/>
    <cellStyle name="표준 2 3 2 3 7 2 3" xfId="7958"/>
    <cellStyle name="표준 2 3 2 3 7 2 3 2" xfId="19206"/>
    <cellStyle name="표준 2 3 2 3 7 2 4" xfId="5519"/>
    <cellStyle name="표준 2 3 2 3 7 2 4 2" xfId="16768"/>
    <cellStyle name="표준 2 3 2 3 7 2 5" xfId="3039"/>
    <cellStyle name="표준 2 3 2 3 7 2 5 2" xfId="14317"/>
    <cellStyle name="표준 2 3 2 3 7 2 6" xfId="12857"/>
    <cellStyle name="표준 2 3 2 3 7 3" xfId="9406"/>
    <cellStyle name="표준 2 3 2 3 7 3 2" xfId="20654"/>
    <cellStyle name="표준 2 3 2 3 7 4" xfId="6968"/>
    <cellStyle name="표준 2 3 2 3 7 4 2" xfId="18216"/>
    <cellStyle name="표준 2 3 2 3 7 5" xfId="4529"/>
    <cellStyle name="표준 2 3 2 3 7 5 2" xfId="15778"/>
    <cellStyle name="표준 2 3 2 3 7 6" xfId="2298"/>
    <cellStyle name="표준 2 3 2 3 7 6 2" xfId="13717"/>
    <cellStyle name="표준 2 3 2 3 7 7" xfId="12257"/>
    <cellStyle name="표준 2 3 2 3 8" xfId="1036"/>
    <cellStyle name="표준 2 3 2 3 8 2" xfId="9484"/>
    <cellStyle name="표준 2 3 2 3 8 2 2" xfId="20732"/>
    <cellStyle name="표준 2 3 2 3 8 3" xfId="7046"/>
    <cellStyle name="표준 2 3 2 3 8 3 2" xfId="18294"/>
    <cellStyle name="표준 2 3 2 3 8 4" xfId="4607"/>
    <cellStyle name="표준 2 3 2 3 8 4 2" xfId="15856"/>
    <cellStyle name="표준 2 3 2 3 8 5" xfId="2657"/>
    <cellStyle name="표준 2 3 2 3 8 5 2" xfId="13935"/>
    <cellStyle name="표준 2 3 2 3 8 6" xfId="12475"/>
    <cellStyle name="표준 2 3 2 3 9" xfId="972"/>
    <cellStyle name="표준 2 3 2 3 9 2" xfId="10480"/>
    <cellStyle name="표준 2 3 2 3 9 2 2" xfId="21728"/>
    <cellStyle name="표준 2 3 2 3 9 3" xfId="8042"/>
    <cellStyle name="표준 2 3 2 3 9 3 2" xfId="19290"/>
    <cellStyle name="표준 2 3 2 3 9 4" xfId="5603"/>
    <cellStyle name="표준 2 3 2 3 9 4 2" xfId="16852"/>
    <cellStyle name="표준 2 3 2 3 9 5" xfId="2594"/>
    <cellStyle name="표준 2 3 2 3 9 5 2" xfId="13872"/>
    <cellStyle name="표준 2 3 2 3 9 6" xfId="12412"/>
    <cellStyle name="표준 2 3 2 4" xfId="91"/>
    <cellStyle name="표준 2 3 2 4 10" xfId="3597"/>
    <cellStyle name="표준 2 3 2 4 10 2" xfId="8496"/>
    <cellStyle name="표준 2 3 2 4 10 2 2" xfId="19744"/>
    <cellStyle name="표준 2 3 2 4 10 3" xfId="6058"/>
    <cellStyle name="표준 2 3 2 4 10 3 2" xfId="17306"/>
    <cellStyle name="표준 2 3 2 4 10 4" xfId="14868"/>
    <cellStyle name="표준 2 3 2 4 11" xfId="8317"/>
    <cellStyle name="표준 2 3 2 4 11 2" xfId="19565"/>
    <cellStyle name="표준 2 3 2 4 12" xfId="5879"/>
    <cellStyle name="표준 2 3 2 4 12 2" xfId="17127"/>
    <cellStyle name="표준 2 3 2 4 13" xfId="10763"/>
    <cellStyle name="표준 2 3 2 4 13 2" xfId="22011"/>
    <cellStyle name="표준 2 3 2 4 14" xfId="3411"/>
    <cellStyle name="표준 2 3 2 4 14 2" xfId="14689"/>
    <cellStyle name="표준 2 3 2 4 15" xfId="1807"/>
    <cellStyle name="표준 2 3 2 4 15 2" xfId="13236"/>
    <cellStyle name="표준 2 3 2 4 16" xfId="11776"/>
    <cellStyle name="표준 2 3 2 4 2" xfId="173"/>
    <cellStyle name="표준 2 3 2 4 2 10" xfId="1847"/>
    <cellStyle name="표준 2 3 2 4 2 10 2" xfId="13274"/>
    <cellStyle name="표준 2 3 2 4 2 11" xfId="11814"/>
    <cellStyle name="표준 2 3 2 4 2 2" xfId="285"/>
    <cellStyle name="표준 2 3 2 4 2 2 2" xfId="569"/>
    <cellStyle name="표준 2 3 2 4 2 2 2 2" xfId="1657"/>
    <cellStyle name="표준 2 3 2 4 2 2 2 2 2" xfId="10304"/>
    <cellStyle name="표준 2 3 2 4 2 2 2 2 2 2" xfId="21552"/>
    <cellStyle name="표준 2 3 2 4 2 2 2 2 3" xfId="7866"/>
    <cellStyle name="표준 2 3 2 4 2 2 2 2 3 2" xfId="19114"/>
    <cellStyle name="표준 2 3 2 4 2 2 2 2 4" xfId="5427"/>
    <cellStyle name="표준 2 3 2 4 2 2 2 2 4 2" xfId="16676"/>
    <cellStyle name="표준 2 3 2 4 2 2 2 2 5" xfId="3269"/>
    <cellStyle name="표준 2 3 2 4 2 2 2 2 5 2" xfId="14547"/>
    <cellStyle name="표준 2 3 2 4 2 2 2 2 6" xfId="13087"/>
    <cellStyle name="표준 2 3 2 4 2 2 2 3" xfId="9314"/>
    <cellStyle name="표준 2 3 2 4 2 2 2 3 2" xfId="20562"/>
    <cellStyle name="표준 2 3 2 4 2 2 2 4" xfId="6876"/>
    <cellStyle name="표준 2 3 2 4 2 2 2 4 2" xfId="18124"/>
    <cellStyle name="표준 2 3 2 4 2 2 2 5" xfId="4435"/>
    <cellStyle name="표준 2 3 2 4 2 2 2 5 2" xfId="15686"/>
    <cellStyle name="표준 2 3 2 4 2 2 2 6" xfId="2241"/>
    <cellStyle name="표준 2 3 2 4 2 2 2 6 2" xfId="13668"/>
    <cellStyle name="표준 2 3 2 4 2 2 2 7" xfId="12208"/>
    <cellStyle name="표준 2 3 2 4 2 2 3" xfId="1272"/>
    <cellStyle name="표준 2 3 2 4 2 2 3 2" xfId="9851"/>
    <cellStyle name="표준 2 3 2 4 2 2 3 2 2" xfId="21099"/>
    <cellStyle name="표준 2 3 2 4 2 2 3 3" xfId="7413"/>
    <cellStyle name="표준 2 3 2 4 2 2 3 3 2" xfId="18661"/>
    <cellStyle name="표준 2 3 2 4 2 2 3 4" xfId="4974"/>
    <cellStyle name="표준 2 3 2 4 2 2 3 4 2" xfId="16223"/>
    <cellStyle name="표준 2 3 2 4 2 2 3 5" xfId="2893"/>
    <cellStyle name="표준 2 3 2 4 2 2 3 5 2" xfId="14171"/>
    <cellStyle name="표준 2 3 2 4 2 2 3 6" xfId="12711"/>
    <cellStyle name="표준 2 3 2 4 2 2 4" xfId="8861"/>
    <cellStyle name="표준 2 3 2 4 2 2 4 2" xfId="20109"/>
    <cellStyle name="표준 2 3 2 4 2 2 5" xfId="6423"/>
    <cellStyle name="표준 2 3 2 4 2 2 5 2" xfId="17671"/>
    <cellStyle name="표준 2 3 2 4 2 2 6" xfId="11031"/>
    <cellStyle name="표준 2 3 2 4 2 2 6 2" xfId="22278"/>
    <cellStyle name="표준 2 3 2 4 2 2 7" xfId="3982"/>
    <cellStyle name="표준 2 3 2 4 2 2 7 2" xfId="15233"/>
    <cellStyle name="표준 2 3 2 4 2 2 8" xfId="1957"/>
    <cellStyle name="표준 2 3 2 4 2 2 8 2" xfId="13384"/>
    <cellStyle name="표준 2 3 2 4 2 2 9" xfId="11924"/>
    <cellStyle name="표준 2 3 2 4 2 3" xfId="459"/>
    <cellStyle name="표준 2 3 2 4 2 3 2" xfId="1552"/>
    <cellStyle name="표준 2 3 2 4 2 3 2 2" xfId="10077"/>
    <cellStyle name="표준 2 3 2 4 2 3 2 2 2" xfId="21325"/>
    <cellStyle name="표준 2 3 2 4 2 3 2 3" xfId="7639"/>
    <cellStyle name="표준 2 3 2 4 2 3 2 3 2" xfId="18887"/>
    <cellStyle name="표준 2 3 2 4 2 3 2 4" xfId="5200"/>
    <cellStyle name="표준 2 3 2 4 2 3 2 4 2" xfId="16449"/>
    <cellStyle name="표준 2 3 2 4 2 3 2 5" xfId="3164"/>
    <cellStyle name="표준 2 3 2 4 2 3 2 5 2" xfId="14442"/>
    <cellStyle name="표준 2 3 2 4 2 3 2 6" xfId="12982"/>
    <cellStyle name="표준 2 3 2 4 2 3 3" xfId="9087"/>
    <cellStyle name="표준 2 3 2 4 2 3 3 2" xfId="20335"/>
    <cellStyle name="표준 2 3 2 4 2 3 4" xfId="6649"/>
    <cellStyle name="표준 2 3 2 4 2 3 4 2" xfId="17897"/>
    <cellStyle name="표준 2 3 2 4 2 3 5" xfId="4208"/>
    <cellStyle name="표준 2 3 2 4 2 3 5 2" xfId="15459"/>
    <cellStyle name="표준 2 3 2 4 2 3 6" xfId="2131"/>
    <cellStyle name="표준 2 3 2 4 2 3 6 2" xfId="13558"/>
    <cellStyle name="표준 2 3 2 4 2 3 7" xfId="12098"/>
    <cellStyle name="표준 2 3 2 4 2 4" xfId="774"/>
    <cellStyle name="표준 2 3 2 4 2 4 2" xfId="9625"/>
    <cellStyle name="표준 2 3 2 4 2 4 2 2" xfId="20873"/>
    <cellStyle name="표준 2 3 2 4 2 4 3" xfId="7187"/>
    <cellStyle name="표준 2 3 2 4 2 4 3 2" xfId="18435"/>
    <cellStyle name="표준 2 3 2 4 2 4 4" xfId="4748"/>
    <cellStyle name="표준 2 3 2 4 2 4 4 2" xfId="15997"/>
    <cellStyle name="표준 2 3 2 4 2 4 5" xfId="2401"/>
    <cellStyle name="표준 2 3 2 4 2 4 5 2" xfId="13796"/>
    <cellStyle name="표준 2 3 2 4 2 4 6" xfId="12336"/>
    <cellStyle name="표준 2 3 2 4 2 5" xfId="1162"/>
    <cellStyle name="표준 2 3 2 4 2 5 2" xfId="8635"/>
    <cellStyle name="표준 2 3 2 4 2 5 2 2" xfId="19883"/>
    <cellStyle name="표준 2 3 2 4 2 5 3" xfId="6197"/>
    <cellStyle name="표준 2 3 2 4 2 5 3 2" xfId="17445"/>
    <cellStyle name="표준 2 3 2 4 2 5 4" xfId="3756"/>
    <cellStyle name="표준 2 3 2 4 2 5 4 2" xfId="15007"/>
    <cellStyle name="표준 2 3 2 4 2 5 5" xfId="2783"/>
    <cellStyle name="표준 2 3 2 4 2 5 5 2" xfId="14061"/>
    <cellStyle name="표준 2 3 2 4 2 5 6" xfId="12601"/>
    <cellStyle name="표준 2 3 2 4 2 6" xfId="8400"/>
    <cellStyle name="표준 2 3 2 4 2 6 2" xfId="19648"/>
    <cellStyle name="표준 2 3 2 4 2 7" xfId="5962"/>
    <cellStyle name="표준 2 3 2 4 2 7 2" xfId="17210"/>
    <cellStyle name="표준 2 3 2 4 2 8" xfId="10846"/>
    <cellStyle name="표준 2 3 2 4 2 8 2" xfId="22094"/>
    <cellStyle name="표준 2 3 2 4 2 9" xfId="3500"/>
    <cellStyle name="표준 2 3 2 4 2 9 2" xfId="14772"/>
    <cellStyle name="표준 2 3 2 4 3" xfId="247"/>
    <cellStyle name="표준 2 3 2 4 3 2" xfId="531"/>
    <cellStyle name="표준 2 3 2 4 3 2 2" xfId="1619"/>
    <cellStyle name="표준 2 3 2 4 3 2 2 2" xfId="10218"/>
    <cellStyle name="표준 2 3 2 4 3 2 2 2 2" xfId="21466"/>
    <cellStyle name="표준 2 3 2 4 3 2 2 3" xfId="7780"/>
    <cellStyle name="표준 2 3 2 4 3 2 2 3 2" xfId="19028"/>
    <cellStyle name="표준 2 3 2 4 3 2 2 4" xfId="5341"/>
    <cellStyle name="표준 2 3 2 4 3 2 2 4 2" xfId="16590"/>
    <cellStyle name="표준 2 3 2 4 3 2 2 5" xfId="3231"/>
    <cellStyle name="표준 2 3 2 4 3 2 2 5 2" xfId="14509"/>
    <cellStyle name="표준 2 3 2 4 3 2 2 6" xfId="13049"/>
    <cellStyle name="표준 2 3 2 4 3 2 3" xfId="9228"/>
    <cellStyle name="표준 2 3 2 4 3 2 3 2" xfId="20476"/>
    <cellStyle name="표준 2 3 2 4 3 2 4" xfId="6790"/>
    <cellStyle name="표준 2 3 2 4 3 2 4 2" xfId="18038"/>
    <cellStyle name="표준 2 3 2 4 3 2 5" xfId="4349"/>
    <cellStyle name="표준 2 3 2 4 3 2 5 2" xfId="15600"/>
    <cellStyle name="표준 2 3 2 4 3 2 6" xfId="2203"/>
    <cellStyle name="표준 2 3 2 4 3 2 6 2" xfId="13630"/>
    <cellStyle name="표준 2 3 2 4 3 2 7" xfId="12170"/>
    <cellStyle name="표준 2 3 2 4 3 3" xfId="1234"/>
    <cellStyle name="표준 2 3 2 4 3 3 2" xfId="9765"/>
    <cellStyle name="표준 2 3 2 4 3 3 2 2" xfId="21013"/>
    <cellStyle name="표준 2 3 2 4 3 3 3" xfId="7327"/>
    <cellStyle name="표준 2 3 2 4 3 3 3 2" xfId="18575"/>
    <cellStyle name="표준 2 3 2 4 3 3 4" xfId="4888"/>
    <cellStyle name="표준 2 3 2 4 3 3 4 2" xfId="16137"/>
    <cellStyle name="표준 2 3 2 4 3 3 5" xfId="2855"/>
    <cellStyle name="표준 2 3 2 4 3 3 5 2" xfId="14133"/>
    <cellStyle name="표준 2 3 2 4 3 3 6" xfId="12673"/>
    <cellStyle name="표준 2 3 2 4 3 4" xfId="8775"/>
    <cellStyle name="표준 2 3 2 4 3 4 2" xfId="20023"/>
    <cellStyle name="표준 2 3 2 4 3 5" xfId="6337"/>
    <cellStyle name="표준 2 3 2 4 3 5 2" xfId="17585"/>
    <cellStyle name="표준 2 3 2 4 3 6" xfId="10948"/>
    <cellStyle name="표준 2 3 2 4 3 6 2" xfId="22195"/>
    <cellStyle name="표준 2 3 2 4 3 7" xfId="3896"/>
    <cellStyle name="표준 2 3 2 4 3 7 2" xfId="15147"/>
    <cellStyle name="표준 2 3 2 4 3 8" xfId="1919"/>
    <cellStyle name="표준 2 3 2 4 3 8 2" xfId="13346"/>
    <cellStyle name="표준 2 3 2 4 3 9" xfId="11886"/>
    <cellStyle name="표준 2 3 2 4 4" xfId="421"/>
    <cellStyle name="표준 2 3 2 4 4 2" xfId="1519"/>
    <cellStyle name="표준 2 3 2 4 4 2 2" xfId="9991"/>
    <cellStyle name="표준 2 3 2 4 4 2 2 2" xfId="21239"/>
    <cellStyle name="표준 2 3 2 4 4 2 3" xfId="7553"/>
    <cellStyle name="표준 2 3 2 4 4 2 3 2" xfId="18801"/>
    <cellStyle name="표준 2 3 2 4 4 2 4" xfId="5114"/>
    <cellStyle name="표준 2 3 2 4 4 2 4 2" xfId="16363"/>
    <cellStyle name="표준 2 3 2 4 4 2 5" xfId="3131"/>
    <cellStyle name="표준 2 3 2 4 4 2 5 2" xfId="14409"/>
    <cellStyle name="표준 2 3 2 4 4 2 6" xfId="12949"/>
    <cellStyle name="표준 2 3 2 4 4 3" xfId="1124"/>
    <cellStyle name="표준 2 3 2 4 4 3 2" xfId="9001"/>
    <cellStyle name="표준 2 3 2 4 4 3 2 2" xfId="20249"/>
    <cellStyle name="표준 2 3 2 4 4 3 3" xfId="2745"/>
    <cellStyle name="표준 2 3 2 4 4 3 3 2" xfId="14023"/>
    <cellStyle name="표준 2 3 2 4 4 3 4" xfId="12563"/>
    <cellStyle name="표준 2 3 2 4 4 4" xfId="6563"/>
    <cellStyle name="표준 2 3 2 4 4 4 2" xfId="17811"/>
    <cellStyle name="표준 2 3 2 4 4 5" xfId="4122"/>
    <cellStyle name="표준 2 3 2 4 4 5 2" xfId="15373"/>
    <cellStyle name="표준 2 3 2 4 4 6" xfId="2093"/>
    <cellStyle name="표준 2 3 2 4 4 6 2" xfId="13520"/>
    <cellStyle name="표준 2 3 2 4 4 7" xfId="12060"/>
    <cellStyle name="표준 2 3 2 4 5" xfId="349"/>
    <cellStyle name="표준 2 3 2 4 5 2" xfId="1719"/>
    <cellStyle name="표준 2 3 2 4 5 2 2" xfId="10398"/>
    <cellStyle name="표준 2 3 2 4 5 2 2 2" xfId="21646"/>
    <cellStyle name="표준 2 3 2 4 5 2 3" xfId="7960"/>
    <cellStyle name="표준 2 3 2 4 5 2 3 2" xfId="19208"/>
    <cellStyle name="표준 2 3 2 4 5 2 4" xfId="5521"/>
    <cellStyle name="표준 2 3 2 4 5 2 4 2" xfId="16770"/>
    <cellStyle name="표준 2 3 2 4 5 2 5" xfId="3331"/>
    <cellStyle name="표준 2 3 2 4 5 2 5 2" xfId="14609"/>
    <cellStyle name="표준 2 3 2 4 5 2 6" xfId="13149"/>
    <cellStyle name="표준 2 3 2 4 5 3" xfId="1337"/>
    <cellStyle name="표준 2 3 2 4 5 3 2" xfId="9408"/>
    <cellStyle name="표준 2 3 2 4 5 3 2 2" xfId="20656"/>
    <cellStyle name="표준 2 3 2 4 5 3 3" xfId="2958"/>
    <cellStyle name="표준 2 3 2 4 5 3 3 2" xfId="14236"/>
    <cellStyle name="표준 2 3 2 4 5 3 4" xfId="12776"/>
    <cellStyle name="표준 2 3 2 4 5 4" xfId="6970"/>
    <cellStyle name="표준 2 3 2 4 5 4 2" xfId="18218"/>
    <cellStyle name="표준 2 3 2 4 5 5" xfId="4531"/>
    <cellStyle name="표준 2 3 2 4 5 5 2" xfId="15780"/>
    <cellStyle name="표준 2 3 2 4 5 6" xfId="2021"/>
    <cellStyle name="표준 2 3 2 4 5 6 2" xfId="13448"/>
    <cellStyle name="표준 2 3 2 4 5 7" xfId="11988"/>
    <cellStyle name="표준 2 3 2 4 6" xfId="690"/>
    <cellStyle name="표준 2 3 2 4 6 2" xfId="1427"/>
    <cellStyle name="표준 2 3 2 4 6 2 2" xfId="9539"/>
    <cellStyle name="표준 2 3 2 4 6 2 2 2" xfId="20787"/>
    <cellStyle name="표준 2 3 2 4 6 2 3" xfId="3041"/>
    <cellStyle name="표준 2 3 2 4 6 2 3 2" xfId="14319"/>
    <cellStyle name="표준 2 3 2 4 6 2 4" xfId="12859"/>
    <cellStyle name="표준 2 3 2 4 6 3" xfId="7101"/>
    <cellStyle name="표준 2 3 2 4 6 3 2" xfId="18349"/>
    <cellStyle name="표준 2 3 2 4 6 4" xfId="4662"/>
    <cellStyle name="표준 2 3 2 4 6 4 2" xfId="15911"/>
    <cellStyle name="표준 2 3 2 4 6 5" xfId="2322"/>
    <cellStyle name="표준 2 3 2 4 6 5 2" xfId="13735"/>
    <cellStyle name="표준 2 3 2 4 6 6" xfId="12275"/>
    <cellStyle name="표준 2 3 2 4 7" xfId="1052"/>
    <cellStyle name="표준 2 3 2 4 7 2" xfId="10482"/>
    <cellStyle name="표준 2 3 2 4 7 2 2" xfId="21730"/>
    <cellStyle name="표준 2 3 2 4 7 3" xfId="8044"/>
    <cellStyle name="표준 2 3 2 4 7 3 2" xfId="19292"/>
    <cellStyle name="표준 2 3 2 4 7 4" xfId="5605"/>
    <cellStyle name="표준 2 3 2 4 7 4 2" xfId="16854"/>
    <cellStyle name="표준 2 3 2 4 7 5" xfId="2673"/>
    <cellStyle name="표준 2 3 2 4 7 5 2" xfId="13951"/>
    <cellStyle name="표준 2 3 2 4 7 6" xfId="12491"/>
    <cellStyle name="표준 2 3 2 4 8" xfId="988"/>
    <cellStyle name="표준 2 3 2 4 8 2" xfId="10588"/>
    <cellStyle name="표준 2 3 2 4 8 2 2" xfId="21836"/>
    <cellStyle name="표준 2 3 2 4 8 3" xfId="8150"/>
    <cellStyle name="표준 2 3 2 4 8 3 2" xfId="19398"/>
    <cellStyle name="표준 2 3 2 4 8 4" xfId="5711"/>
    <cellStyle name="표준 2 3 2 4 8 4 2" xfId="16960"/>
    <cellStyle name="표준 2 3 2 4 8 5" xfId="2609"/>
    <cellStyle name="표준 2 3 2 4 8 5 2" xfId="13887"/>
    <cellStyle name="표준 2 3 2 4 8 6" xfId="12427"/>
    <cellStyle name="표준 2 3 2 4 9" xfId="5794"/>
    <cellStyle name="표준 2 3 2 4 9 2" xfId="10671"/>
    <cellStyle name="표준 2 3 2 4 9 2 2" xfId="21919"/>
    <cellStyle name="표준 2 3 2 4 9 3" xfId="8233"/>
    <cellStyle name="표준 2 3 2 4 9 3 2" xfId="19481"/>
    <cellStyle name="표준 2 3 2 4 9 4" xfId="17043"/>
    <cellStyle name="표준 2 3 2 5" xfId="99"/>
    <cellStyle name="표준 2 3 2 5 10" xfId="1815"/>
    <cellStyle name="표준 2 3 2 5 10 2" xfId="13244"/>
    <cellStyle name="표준 2 3 2 5 11" xfId="11784"/>
    <cellStyle name="표준 2 3 2 5 2" xfId="255"/>
    <cellStyle name="표준 2 3 2 5 2 2" xfId="539"/>
    <cellStyle name="표준 2 3 2 5 2 2 2" xfId="1627"/>
    <cellStyle name="표준 2 3 2 5 2 2 2 2" xfId="10214"/>
    <cellStyle name="표준 2 3 2 5 2 2 2 2 2" xfId="21462"/>
    <cellStyle name="표준 2 3 2 5 2 2 2 3" xfId="7776"/>
    <cellStyle name="표준 2 3 2 5 2 2 2 3 2" xfId="19024"/>
    <cellStyle name="표준 2 3 2 5 2 2 2 4" xfId="5337"/>
    <cellStyle name="표준 2 3 2 5 2 2 2 4 2" xfId="16586"/>
    <cellStyle name="표준 2 3 2 5 2 2 2 5" xfId="3239"/>
    <cellStyle name="표준 2 3 2 5 2 2 2 5 2" xfId="14517"/>
    <cellStyle name="표준 2 3 2 5 2 2 2 6" xfId="13057"/>
    <cellStyle name="표준 2 3 2 5 2 2 3" xfId="9224"/>
    <cellStyle name="표준 2 3 2 5 2 2 3 2" xfId="20472"/>
    <cellStyle name="표준 2 3 2 5 2 2 4" xfId="6786"/>
    <cellStyle name="표준 2 3 2 5 2 2 4 2" xfId="18034"/>
    <cellStyle name="표준 2 3 2 5 2 2 5" xfId="4345"/>
    <cellStyle name="표준 2 3 2 5 2 2 5 2" xfId="15596"/>
    <cellStyle name="표준 2 3 2 5 2 2 6" xfId="2211"/>
    <cellStyle name="표준 2 3 2 5 2 2 6 2" xfId="13638"/>
    <cellStyle name="표준 2 3 2 5 2 2 7" xfId="12178"/>
    <cellStyle name="표준 2 3 2 5 2 3" xfId="1242"/>
    <cellStyle name="표준 2 3 2 5 2 3 2" xfId="9761"/>
    <cellStyle name="표준 2 3 2 5 2 3 2 2" xfId="21009"/>
    <cellStyle name="표준 2 3 2 5 2 3 3" xfId="7323"/>
    <cellStyle name="표준 2 3 2 5 2 3 3 2" xfId="18571"/>
    <cellStyle name="표준 2 3 2 5 2 3 4" xfId="4884"/>
    <cellStyle name="표준 2 3 2 5 2 3 4 2" xfId="16133"/>
    <cellStyle name="표준 2 3 2 5 2 3 5" xfId="2863"/>
    <cellStyle name="표준 2 3 2 5 2 3 5 2" xfId="14141"/>
    <cellStyle name="표준 2 3 2 5 2 3 6" xfId="12681"/>
    <cellStyle name="표준 2 3 2 5 2 4" xfId="8771"/>
    <cellStyle name="표준 2 3 2 5 2 4 2" xfId="20019"/>
    <cellStyle name="표준 2 3 2 5 2 5" xfId="6333"/>
    <cellStyle name="표준 2 3 2 5 2 5 2" xfId="17581"/>
    <cellStyle name="표준 2 3 2 5 2 6" xfId="11027"/>
    <cellStyle name="표준 2 3 2 5 2 6 2" xfId="22274"/>
    <cellStyle name="표준 2 3 2 5 2 7" xfId="3892"/>
    <cellStyle name="표준 2 3 2 5 2 7 2" xfId="15143"/>
    <cellStyle name="표준 2 3 2 5 2 8" xfId="1927"/>
    <cellStyle name="표준 2 3 2 5 2 8 2" xfId="13354"/>
    <cellStyle name="표준 2 3 2 5 2 9" xfId="11894"/>
    <cellStyle name="표준 2 3 2 5 3" xfId="429"/>
    <cellStyle name="표준 2 3 2 5 3 2" xfId="1522"/>
    <cellStyle name="표준 2 3 2 5 3 2 2" xfId="9987"/>
    <cellStyle name="표준 2 3 2 5 3 2 2 2" xfId="21235"/>
    <cellStyle name="표준 2 3 2 5 3 2 3" xfId="7549"/>
    <cellStyle name="표준 2 3 2 5 3 2 3 2" xfId="18797"/>
    <cellStyle name="표준 2 3 2 5 3 2 4" xfId="5110"/>
    <cellStyle name="표준 2 3 2 5 3 2 4 2" xfId="16359"/>
    <cellStyle name="표준 2 3 2 5 3 2 5" xfId="3134"/>
    <cellStyle name="표준 2 3 2 5 3 2 5 2" xfId="14412"/>
    <cellStyle name="표준 2 3 2 5 3 2 6" xfId="12952"/>
    <cellStyle name="표준 2 3 2 5 3 3" xfId="8997"/>
    <cellStyle name="표준 2 3 2 5 3 3 2" xfId="20245"/>
    <cellStyle name="표준 2 3 2 5 3 4" xfId="6559"/>
    <cellStyle name="표준 2 3 2 5 3 4 2" xfId="17807"/>
    <cellStyle name="표준 2 3 2 5 3 5" xfId="4118"/>
    <cellStyle name="표준 2 3 2 5 3 5 2" xfId="15369"/>
    <cellStyle name="표준 2 3 2 5 3 6" xfId="2101"/>
    <cellStyle name="표준 2 3 2 5 3 6 2" xfId="13528"/>
    <cellStyle name="표준 2 3 2 5 3 7" xfId="12068"/>
    <cellStyle name="표준 2 3 2 5 4" xfId="770"/>
    <cellStyle name="표준 2 3 2 5 4 2" xfId="1132"/>
    <cellStyle name="표준 2 3 2 5 4 2 2" xfId="9535"/>
    <cellStyle name="표준 2 3 2 5 4 2 2 2" xfId="20783"/>
    <cellStyle name="표준 2 3 2 5 4 2 3" xfId="2753"/>
    <cellStyle name="표준 2 3 2 5 4 2 3 2" xfId="14031"/>
    <cellStyle name="표준 2 3 2 5 4 2 4" xfId="12571"/>
    <cellStyle name="표준 2 3 2 5 4 3" xfId="7097"/>
    <cellStyle name="표준 2 3 2 5 4 3 2" xfId="18345"/>
    <cellStyle name="표준 2 3 2 5 4 4" xfId="4658"/>
    <cellStyle name="표준 2 3 2 5 4 4 2" xfId="15907"/>
    <cellStyle name="표준 2 3 2 5 4 5" xfId="2397"/>
    <cellStyle name="표준 2 3 2 5 4 5 2" xfId="13792"/>
    <cellStyle name="표준 2 3 2 5 4 6" xfId="12332"/>
    <cellStyle name="표준 2 3 2 5 5" xfId="958"/>
    <cellStyle name="표준 2 3 2 5 5 2" xfId="8569"/>
    <cellStyle name="표준 2 3 2 5 5 2 2" xfId="19817"/>
    <cellStyle name="표준 2 3 2 5 5 3" xfId="6131"/>
    <cellStyle name="표준 2 3 2 5 5 3 2" xfId="17379"/>
    <cellStyle name="표준 2 3 2 5 5 4" xfId="3690"/>
    <cellStyle name="표준 2 3 2 5 5 4 2" xfId="14941"/>
    <cellStyle name="표준 2 3 2 5 5 5" xfId="2580"/>
    <cellStyle name="표준 2 3 2 5 5 5 2" xfId="13858"/>
    <cellStyle name="표준 2 3 2 5 5 6" xfId="12398"/>
    <cellStyle name="표준 2 3 2 5 6" xfId="8396"/>
    <cellStyle name="표준 2 3 2 5 6 2" xfId="19644"/>
    <cellStyle name="표준 2 3 2 5 7" xfId="5958"/>
    <cellStyle name="표준 2 3 2 5 7 2" xfId="17206"/>
    <cellStyle name="표준 2 3 2 5 8" xfId="10842"/>
    <cellStyle name="표준 2 3 2 5 8 2" xfId="22090"/>
    <cellStyle name="표준 2 3 2 5 9" xfId="3496"/>
    <cellStyle name="표준 2 3 2 5 9 2" xfId="14768"/>
    <cellStyle name="표준 2 3 2 6" xfId="209"/>
    <cellStyle name="표준 2 3 2 6 10" xfId="1881"/>
    <cellStyle name="표준 2 3 2 6 10 2" xfId="13308"/>
    <cellStyle name="표준 2 3 2 6 11" xfId="11848"/>
    <cellStyle name="표준 2 3 2 6 2" xfId="493"/>
    <cellStyle name="표준 2 3 2 6 2 2" xfId="1581"/>
    <cellStyle name="표준 2 3 2 6 2 2 2" xfId="5423"/>
    <cellStyle name="표준 2 3 2 6 2 2 2 2" xfId="10300"/>
    <cellStyle name="표준 2 3 2 6 2 2 2 2 2" xfId="21548"/>
    <cellStyle name="표준 2 3 2 6 2 2 2 3" xfId="7862"/>
    <cellStyle name="표준 2 3 2 6 2 2 2 3 2" xfId="19110"/>
    <cellStyle name="표준 2 3 2 6 2 2 2 4" xfId="16672"/>
    <cellStyle name="표준 2 3 2 6 2 2 3" xfId="9310"/>
    <cellStyle name="표준 2 3 2 6 2 2 3 2" xfId="20558"/>
    <cellStyle name="표준 2 3 2 6 2 2 4" xfId="6872"/>
    <cellStyle name="표준 2 3 2 6 2 2 4 2" xfId="18120"/>
    <cellStyle name="표준 2 3 2 6 2 2 5" xfId="4431"/>
    <cellStyle name="표준 2 3 2 6 2 2 5 2" xfId="15682"/>
    <cellStyle name="표준 2 3 2 6 2 2 6" xfId="3193"/>
    <cellStyle name="표준 2 3 2 6 2 2 6 2" xfId="14471"/>
    <cellStyle name="표준 2 3 2 6 2 2 7" xfId="13011"/>
    <cellStyle name="표준 2 3 2 6 2 3" xfId="4970"/>
    <cellStyle name="표준 2 3 2 6 2 3 2" xfId="9847"/>
    <cellStyle name="표준 2 3 2 6 2 3 2 2" xfId="21095"/>
    <cellStyle name="표준 2 3 2 6 2 3 3" xfId="7409"/>
    <cellStyle name="표준 2 3 2 6 2 3 3 2" xfId="18657"/>
    <cellStyle name="표준 2 3 2 6 2 3 4" xfId="16219"/>
    <cellStyle name="표준 2 3 2 6 2 4" xfId="8857"/>
    <cellStyle name="표준 2 3 2 6 2 4 2" xfId="20105"/>
    <cellStyle name="표준 2 3 2 6 2 5" xfId="6419"/>
    <cellStyle name="표준 2 3 2 6 2 5 2" xfId="17667"/>
    <cellStyle name="표준 2 3 2 6 2 6" xfId="11084"/>
    <cellStyle name="표준 2 3 2 6 2 6 2" xfId="22331"/>
    <cellStyle name="표준 2 3 2 6 2 7" xfId="3978"/>
    <cellStyle name="표준 2 3 2 6 2 7 2" xfId="15229"/>
    <cellStyle name="표준 2 3 2 6 2 8" xfId="2165"/>
    <cellStyle name="표준 2 3 2 6 2 8 2" xfId="13592"/>
    <cellStyle name="표준 2 3 2 6 2 9" xfId="12132"/>
    <cellStyle name="표준 2 3 2 6 3" xfId="1196"/>
    <cellStyle name="표준 2 3 2 6 3 2" xfId="5196"/>
    <cellStyle name="표준 2 3 2 6 3 2 2" xfId="10073"/>
    <cellStyle name="표준 2 3 2 6 3 2 2 2" xfId="21321"/>
    <cellStyle name="표준 2 3 2 6 3 2 3" xfId="7635"/>
    <cellStyle name="표준 2 3 2 6 3 2 3 2" xfId="18883"/>
    <cellStyle name="표준 2 3 2 6 3 2 4" xfId="16445"/>
    <cellStyle name="표준 2 3 2 6 3 3" xfId="9083"/>
    <cellStyle name="표준 2 3 2 6 3 3 2" xfId="20331"/>
    <cellStyle name="표준 2 3 2 6 3 4" xfId="6645"/>
    <cellStyle name="표준 2 3 2 6 3 4 2" xfId="17893"/>
    <cellStyle name="표준 2 3 2 6 3 5" xfId="4204"/>
    <cellStyle name="표준 2 3 2 6 3 5 2" xfId="15455"/>
    <cellStyle name="표준 2 3 2 6 3 6" xfId="2817"/>
    <cellStyle name="표준 2 3 2 6 3 6 2" xfId="14095"/>
    <cellStyle name="표준 2 3 2 6 3 7" xfId="12635"/>
    <cellStyle name="표준 2 3 2 6 4" xfId="4744"/>
    <cellStyle name="표준 2 3 2 6 4 2" xfId="9621"/>
    <cellStyle name="표준 2 3 2 6 4 2 2" xfId="20869"/>
    <cellStyle name="표준 2 3 2 6 4 3" xfId="7183"/>
    <cellStyle name="표준 2 3 2 6 4 3 2" xfId="18431"/>
    <cellStyle name="표준 2 3 2 6 4 4" xfId="15993"/>
    <cellStyle name="표준 2 3 2 6 5" xfId="3752"/>
    <cellStyle name="표준 2 3 2 6 5 2" xfId="8631"/>
    <cellStyle name="표준 2 3 2 6 5 2 2" xfId="19879"/>
    <cellStyle name="표준 2 3 2 6 5 3" xfId="6193"/>
    <cellStyle name="표준 2 3 2 6 5 3 2" xfId="17441"/>
    <cellStyle name="표준 2 3 2 6 5 4" xfId="15003"/>
    <cellStyle name="표준 2 3 2 6 6" xfId="8453"/>
    <cellStyle name="표준 2 3 2 6 6 2" xfId="19701"/>
    <cellStyle name="표준 2 3 2 6 7" xfId="6015"/>
    <cellStyle name="표준 2 3 2 6 7 2" xfId="17263"/>
    <cellStyle name="표준 2 3 2 6 8" xfId="10899"/>
    <cellStyle name="표준 2 3 2 6 8 2" xfId="22147"/>
    <cellStyle name="표준 2 3 2 6 9" xfId="3554"/>
    <cellStyle name="표준 2 3 2 6 9 2" xfId="14825"/>
    <cellStyle name="표준 2 3 2 7" xfId="383"/>
    <cellStyle name="표준 2 3 2 7 2" xfId="1481"/>
    <cellStyle name="표준 2 3 2 7 2 2" xfId="5264"/>
    <cellStyle name="표준 2 3 2 7 2 2 2" xfId="10141"/>
    <cellStyle name="표준 2 3 2 7 2 2 2 2" xfId="21389"/>
    <cellStyle name="표준 2 3 2 7 2 2 3" xfId="7703"/>
    <cellStyle name="표준 2 3 2 7 2 2 3 2" xfId="18951"/>
    <cellStyle name="표준 2 3 2 7 2 2 4" xfId="16513"/>
    <cellStyle name="표준 2 3 2 7 2 3" xfId="9151"/>
    <cellStyle name="표준 2 3 2 7 2 3 2" xfId="20399"/>
    <cellStyle name="표준 2 3 2 7 2 4" xfId="6713"/>
    <cellStyle name="표준 2 3 2 7 2 4 2" xfId="17961"/>
    <cellStyle name="표준 2 3 2 7 2 5" xfId="10944"/>
    <cellStyle name="표준 2 3 2 7 2 5 2" xfId="22191"/>
    <cellStyle name="표준 2 3 2 7 2 6" xfId="4272"/>
    <cellStyle name="표준 2 3 2 7 2 6 2" xfId="15523"/>
    <cellStyle name="표준 2 3 2 7 2 7" xfId="3093"/>
    <cellStyle name="표준 2 3 2 7 2 7 2" xfId="14371"/>
    <cellStyle name="표준 2 3 2 7 2 8" xfId="12911"/>
    <cellStyle name="표준 2 3 2 7 3" xfId="1086"/>
    <cellStyle name="표준 2 3 2 7 3 2" xfId="9688"/>
    <cellStyle name="표준 2 3 2 7 3 2 2" xfId="20936"/>
    <cellStyle name="표준 2 3 2 7 3 3" xfId="7250"/>
    <cellStyle name="표준 2 3 2 7 3 3 2" xfId="18498"/>
    <cellStyle name="표준 2 3 2 7 3 4" xfId="4811"/>
    <cellStyle name="표준 2 3 2 7 3 4 2" xfId="16060"/>
    <cellStyle name="표준 2 3 2 7 3 5" xfId="2707"/>
    <cellStyle name="표준 2 3 2 7 3 5 2" xfId="13985"/>
    <cellStyle name="표준 2 3 2 7 3 6" xfId="12525"/>
    <cellStyle name="표준 2 3 2 7 4" xfId="8698"/>
    <cellStyle name="표준 2 3 2 7 4 2" xfId="19946"/>
    <cellStyle name="표준 2 3 2 7 5" xfId="6260"/>
    <cellStyle name="표준 2 3 2 7 5 2" xfId="17508"/>
    <cellStyle name="표준 2 3 2 7 6" xfId="10759"/>
    <cellStyle name="표준 2 3 2 7 6 2" xfId="22007"/>
    <cellStyle name="표준 2 3 2 7 7" xfId="3819"/>
    <cellStyle name="표준 2 3 2 7 7 2" xfId="15070"/>
    <cellStyle name="표준 2 3 2 7 8" xfId="2055"/>
    <cellStyle name="표준 2 3 2 7 8 2" xfId="13482"/>
    <cellStyle name="표준 2 3 2 7 9" xfId="12022"/>
    <cellStyle name="표준 2 3 2 8" xfId="319"/>
    <cellStyle name="표준 2 3 2 8 2" xfId="1715"/>
    <cellStyle name="표준 2 3 2 8 2 2" xfId="9914"/>
    <cellStyle name="표준 2 3 2 8 2 2 2" xfId="21162"/>
    <cellStyle name="표준 2 3 2 8 2 3" xfId="7476"/>
    <cellStyle name="표준 2 3 2 8 2 3 2" xfId="18724"/>
    <cellStyle name="표준 2 3 2 8 2 4" xfId="5037"/>
    <cellStyle name="표준 2 3 2 8 2 4 2" xfId="16286"/>
    <cellStyle name="표준 2 3 2 8 2 5" xfId="3327"/>
    <cellStyle name="표준 2 3 2 8 2 5 2" xfId="14605"/>
    <cellStyle name="표준 2 3 2 8 2 6" xfId="13145"/>
    <cellStyle name="표준 2 3 2 8 3" xfId="1333"/>
    <cellStyle name="표준 2 3 2 8 3 2" xfId="8924"/>
    <cellStyle name="표준 2 3 2 8 3 2 2" xfId="20172"/>
    <cellStyle name="표준 2 3 2 8 3 3" xfId="2954"/>
    <cellStyle name="표준 2 3 2 8 3 3 2" xfId="14232"/>
    <cellStyle name="표준 2 3 2 8 3 4" xfId="12772"/>
    <cellStyle name="표준 2 3 2 8 4" xfId="6486"/>
    <cellStyle name="표준 2 3 2 8 4 2" xfId="17734"/>
    <cellStyle name="표준 2 3 2 8 5" xfId="10910"/>
    <cellStyle name="표준 2 3 2 8 5 2" xfId="22157"/>
    <cellStyle name="표준 2 3 2 8 6" xfId="4045"/>
    <cellStyle name="표준 2 3 2 8 6 2" xfId="15296"/>
    <cellStyle name="표준 2 3 2 8 7" xfId="1991"/>
    <cellStyle name="표준 2 3 2 8 7 2" xfId="13418"/>
    <cellStyle name="표준 2 3 2 8 8" xfId="11958"/>
    <cellStyle name="표준 2 3 2 9" xfId="612"/>
    <cellStyle name="표준 2 3 2 9 2" xfId="1423"/>
    <cellStyle name="표준 2 3 2 9 2 2" xfId="10394"/>
    <cellStyle name="표준 2 3 2 9 2 2 2" xfId="21642"/>
    <cellStyle name="표준 2 3 2 9 2 3" xfId="7956"/>
    <cellStyle name="표준 2 3 2 9 2 3 2" xfId="19204"/>
    <cellStyle name="표준 2 3 2 9 2 4" xfId="5517"/>
    <cellStyle name="표준 2 3 2 9 2 4 2" xfId="16766"/>
    <cellStyle name="표준 2 3 2 9 2 5" xfId="3037"/>
    <cellStyle name="표준 2 3 2 9 2 5 2" xfId="14315"/>
    <cellStyle name="표준 2 3 2 9 2 6" xfId="12855"/>
    <cellStyle name="표준 2 3 2 9 3" xfId="9404"/>
    <cellStyle name="표준 2 3 2 9 3 2" xfId="20652"/>
    <cellStyle name="표준 2 3 2 9 4" xfId="6966"/>
    <cellStyle name="표준 2 3 2 9 4 2" xfId="18214"/>
    <cellStyle name="표준 2 3 2 9 5" xfId="4527"/>
    <cellStyle name="표준 2 3 2 9 5 2" xfId="15776"/>
    <cellStyle name="표준 2 3 2 9 6" xfId="2284"/>
    <cellStyle name="표준 2 3 2 9 6 2" xfId="13703"/>
    <cellStyle name="표준 2 3 2 9 7" xfId="12243"/>
    <cellStyle name="표준 2 3 20" xfId="5761"/>
    <cellStyle name="표준 2 3 20 2" xfId="10638"/>
    <cellStyle name="표준 2 3 20 2 2" xfId="21886"/>
    <cellStyle name="표준 2 3 20 3" xfId="8200"/>
    <cellStyle name="표준 2 3 20 3 2" xfId="19448"/>
    <cellStyle name="표준 2 3 20 4" xfId="17010"/>
    <cellStyle name="표준 2 3 21" xfId="3559"/>
    <cellStyle name="표준 2 3 21 2" xfId="8458"/>
    <cellStyle name="표준 2 3 21 2 2" xfId="19706"/>
    <cellStyle name="표준 2 3 21 3" xfId="6020"/>
    <cellStyle name="표준 2 3 21 3 2" xfId="17268"/>
    <cellStyle name="표준 2 3 21 4" xfId="14830"/>
    <cellStyle name="표준 2 3 22" xfId="8284"/>
    <cellStyle name="표준 2 3 22 2" xfId="19532"/>
    <cellStyle name="표준 2 3 23" xfId="5846"/>
    <cellStyle name="표준 2 3 23 2" xfId="17094"/>
    <cellStyle name="표준 2 3 24" xfId="10721"/>
    <cellStyle name="표준 2 3 24 2" xfId="21969"/>
    <cellStyle name="표준 2 3 25" xfId="3378"/>
    <cellStyle name="표준 2 3 25 2" xfId="14656"/>
    <cellStyle name="표준 2 3 26" xfId="1765"/>
    <cellStyle name="표준 2 3 26 2" xfId="13194"/>
    <cellStyle name="표준 2 3 27" xfId="11734"/>
    <cellStyle name="표준 2 3 3" xfId="58"/>
    <cellStyle name="표준 2 3 3 10" xfId="5712"/>
    <cellStyle name="표준 2 3 3 10 2" xfId="10589"/>
    <cellStyle name="표준 2 3 3 10 2 2" xfId="21837"/>
    <cellStyle name="표준 2 3 3 10 3" xfId="8151"/>
    <cellStyle name="표준 2 3 3 10 3 2" xfId="19399"/>
    <cellStyle name="표준 2 3 3 10 4" xfId="16961"/>
    <cellStyle name="표준 2 3 3 11" xfId="5795"/>
    <cellStyle name="표준 2 3 3 11 2" xfId="10672"/>
    <cellStyle name="표준 2 3 3 11 2 2" xfId="21920"/>
    <cellStyle name="표준 2 3 3 11 3" xfId="8234"/>
    <cellStyle name="표준 2 3 3 11 3 2" xfId="19482"/>
    <cellStyle name="표준 2 3 3 11 4" xfId="17044"/>
    <cellStyle name="표준 2 3 3 12" xfId="3598"/>
    <cellStyle name="표준 2 3 3 12 2" xfId="8497"/>
    <cellStyle name="표준 2 3 3 12 2 2" xfId="19745"/>
    <cellStyle name="표준 2 3 3 12 3" xfId="6059"/>
    <cellStyle name="표준 2 3 3 12 3 2" xfId="17307"/>
    <cellStyle name="표준 2 3 3 12 4" xfId="14869"/>
    <cellStyle name="표준 2 3 3 13" xfId="8318"/>
    <cellStyle name="표준 2 3 3 13 2" xfId="19566"/>
    <cellStyle name="표준 2 3 3 14" xfId="5880"/>
    <cellStyle name="표준 2 3 3 14 2" xfId="17128"/>
    <cellStyle name="표준 2 3 3 15" xfId="10764"/>
    <cellStyle name="표준 2 3 3 15 2" xfId="22012"/>
    <cellStyle name="표준 2 3 3 16" xfId="3412"/>
    <cellStyle name="표준 2 3 3 16 2" xfId="14690"/>
    <cellStyle name="표준 2 3 3 17" xfId="1774"/>
    <cellStyle name="표준 2 3 3 17 2" xfId="13203"/>
    <cellStyle name="표준 2 3 3 18" xfId="11743"/>
    <cellStyle name="표준 2 3 3 2" xfId="77"/>
    <cellStyle name="표준 2 3 3 2 10" xfId="5796"/>
    <cellStyle name="표준 2 3 3 2 10 2" xfId="10673"/>
    <cellStyle name="표준 2 3 3 2 10 2 2" xfId="21921"/>
    <cellStyle name="표준 2 3 3 2 10 3" xfId="8235"/>
    <cellStyle name="표준 2 3 3 2 10 3 2" xfId="19483"/>
    <cellStyle name="표준 2 3 3 2 10 4" xfId="17045"/>
    <cellStyle name="표준 2 3 3 2 11" xfId="3599"/>
    <cellStyle name="표준 2 3 3 2 11 2" xfId="8498"/>
    <cellStyle name="표준 2 3 3 2 11 2 2" xfId="19746"/>
    <cellStyle name="표준 2 3 3 2 11 3" xfId="6060"/>
    <cellStyle name="표준 2 3 3 2 11 3 2" xfId="17308"/>
    <cellStyle name="표준 2 3 3 2 11 4" xfId="14870"/>
    <cellStyle name="표준 2 3 3 2 12" xfId="8319"/>
    <cellStyle name="표준 2 3 3 2 12 2" xfId="19567"/>
    <cellStyle name="표준 2 3 3 2 13" xfId="5881"/>
    <cellStyle name="표준 2 3 3 2 13 2" xfId="17129"/>
    <cellStyle name="표준 2 3 3 2 14" xfId="10765"/>
    <cellStyle name="표준 2 3 3 2 14 2" xfId="22013"/>
    <cellStyle name="표준 2 3 3 2 15" xfId="3413"/>
    <cellStyle name="표준 2 3 3 2 15 2" xfId="14691"/>
    <cellStyle name="표준 2 3 3 2 16" xfId="1793"/>
    <cellStyle name="표준 2 3 3 2 16 2" xfId="13222"/>
    <cellStyle name="표준 2 3 3 2 17" xfId="11762"/>
    <cellStyle name="표준 2 3 3 2 2" xfId="176"/>
    <cellStyle name="표준 2 3 3 2 2 10" xfId="1850"/>
    <cellStyle name="표준 2 3 3 2 2 10 2" xfId="13277"/>
    <cellStyle name="표준 2 3 3 2 2 11" xfId="11817"/>
    <cellStyle name="표준 2 3 3 2 2 2" xfId="288"/>
    <cellStyle name="표준 2 3 3 2 2 2 2" xfId="572"/>
    <cellStyle name="표준 2 3 3 2 2 2 2 2" xfId="1660"/>
    <cellStyle name="표준 2 3 3 2 2 2 2 2 2" xfId="10220"/>
    <cellStyle name="표준 2 3 3 2 2 2 2 2 2 2" xfId="21468"/>
    <cellStyle name="표준 2 3 3 2 2 2 2 2 3" xfId="7782"/>
    <cellStyle name="표준 2 3 3 2 2 2 2 2 3 2" xfId="19030"/>
    <cellStyle name="표준 2 3 3 2 2 2 2 2 4" xfId="5343"/>
    <cellStyle name="표준 2 3 3 2 2 2 2 2 4 2" xfId="16592"/>
    <cellStyle name="표준 2 3 3 2 2 2 2 2 5" xfId="3272"/>
    <cellStyle name="표준 2 3 3 2 2 2 2 2 5 2" xfId="14550"/>
    <cellStyle name="표준 2 3 3 2 2 2 2 2 6" xfId="13090"/>
    <cellStyle name="표준 2 3 3 2 2 2 2 3" xfId="9230"/>
    <cellStyle name="표준 2 3 3 2 2 2 2 3 2" xfId="20478"/>
    <cellStyle name="표준 2 3 3 2 2 2 2 4" xfId="6792"/>
    <cellStyle name="표준 2 3 3 2 2 2 2 4 2" xfId="18040"/>
    <cellStyle name="표준 2 3 3 2 2 2 2 5" xfId="4351"/>
    <cellStyle name="표준 2 3 3 2 2 2 2 5 2" xfId="15602"/>
    <cellStyle name="표준 2 3 3 2 2 2 2 6" xfId="2244"/>
    <cellStyle name="표준 2 3 3 2 2 2 2 6 2" xfId="13671"/>
    <cellStyle name="표준 2 3 3 2 2 2 2 7" xfId="12211"/>
    <cellStyle name="표준 2 3 3 2 2 2 3" xfId="1275"/>
    <cellStyle name="표준 2 3 3 2 2 2 3 2" xfId="9767"/>
    <cellStyle name="표준 2 3 3 2 2 2 3 2 2" xfId="21015"/>
    <cellStyle name="표준 2 3 3 2 2 2 3 3" xfId="7329"/>
    <cellStyle name="표준 2 3 3 2 2 2 3 3 2" xfId="18577"/>
    <cellStyle name="표준 2 3 3 2 2 2 3 4" xfId="4890"/>
    <cellStyle name="표준 2 3 3 2 2 2 3 4 2" xfId="16139"/>
    <cellStyle name="표준 2 3 3 2 2 2 3 5" xfId="2896"/>
    <cellStyle name="표준 2 3 3 2 2 2 3 5 2" xfId="14174"/>
    <cellStyle name="표준 2 3 3 2 2 2 3 6" xfId="12714"/>
    <cellStyle name="표준 2 3 3 2 2 2 4" xfId="8777"/>
    <cellStyle name="표준 2 3 3 2 2 2 4 2" xfId="20025"/>
    <cellStyle name="표준 2 3 3 2 2 2 5" xfId="6339"/>
    <cellStyle name="표준 2 3 3 2 2 2 5 2" xfId="17587"/>
    <cellStyle name="표준 2 3 3 2 2 2 6" xfId="11033"/>
    <cellStyle name="표준 2 3 3 2 2 2 6 2" xfId="22280"/>
    <cellStyle name="표준 2 3 3 2 2 2 7" xfId="3898"/>
    <cellStyle name="표준 2 3 3 2 2 2 7 2" xfId="15149"/>
    <cellStyle name="표준 2 3 3 2 2 2 8" xfId="1960"/>
    <cellStyle name="표준 2 3 3 2 2 2 8 2" xfId="13387"/>
    <cellStyle name="표준 2 3 3 2 2 2 9" xfId="11927"/>
    <cellStyle name="표준 2 3 3 2 2 3" xfId="462"/>
    <cellStyle name="표준 2 3 3 2 2 3 2" xfId="1555"/>
    <cellStyle name="표준 2 3 3 2 2 3 2 2" xfId="9993"/>
    <cellStyle name="표준 2 3 3 2 2 3 2 2 2" xfId="21241"/>
    <cellStyle name="표준 2 3 3 2 2 3 2 3" xfId="7555"/>
    <cellStyle name="표준 2 3 3 2 2 3 2 3 2" xfId="18803"/>
    <cellStyle name="표준 2 3 3 2 2 3 2 4" xfId="5116"/>
    <cellStyle name="표준 2 3 3 2 2 3 2 4 2" xfId="16365"/>
    <cellStyle name="표준 2 3 3 2 2 3 2 5" xfId="3167"/>
    <cellStyle name="표준 2 3 3 2 2 3 2 5 2" xfId="14445"/>
    <cellStyle name="표준 2 3 3 2 2 3 2 6" xfId="12985"/>
    <cellStyle name="표준 2 3 3 2 2 3 3" xfId="9003"/>
    <cellStyle name="표준 2 3 3 2 2 3 3 2" xfId="20251"/>
    <cellStyle name="표준 2 3 3 2 2 3 4" xfId="6565"/>
    <cellStyle name="표준 2 3 3 2 2 3 4 2" xfId="17813"/>
    <cellStyle name="표준 2 3 3 2 2 3 5" xfId="4124"/>
    <cellStyle name="표준 2 3 3 2 2 3 5 2" xfId="15375"/>
    <cellStyle name="표준 2 3 3 2 2 3 6" xfId="2134"/>
    <cellStyle name="표준 2 3 3 2 2 3 6 2" xfId="13561"/>
    <cellStyle name="표준 2 3 3 2 2 3 7" xfId="12101"/>
    <cellStyle name="표준 2 3 3 2 2 4" xfId="776"/>
    <cellStyle name="표준 2 3 3 2 2 4 2" xfId="9541"/>
    <cellStyle name="표준 2 3 3 2 2 4 2 2" xfId="20789"/>
    <cellStyle name="표준 2 3 3 2 2 4 3" xfId="7103"/>
    <cellStyle name="표준 2 3 3 2 2 4 3 2" xfId="18351"/>
    <cellStyle name="표준 2 3 3 2 2 4 4" xfId="4664"/>
    <cellStyle name="표준 2 3 3 2 2 4 4 2" xfId="15913"/>
    <cellStyle name="표준 2 3 3 2 2 4 5" xfId="2403"/>
    <cellStyle name="표준 2 3 3 2 2 4 5 2" xfId="13798"/>
    <cellStyle name="표준 2 3 3 2 2 4 6" xfId="12338"/>
    <cellStyle name="표준 2 3 3 2 2 5" xfId="1165"/>
    <cellStyle name="표준 2 3 3 2 2 5 2" xfId="8573"/>
    <cellStyle name="표준 2 3 3 2 2 5 2 2" xfId="19821"/>
    <cellStyle name="표준 2 3 3 2 2 5 3" xfId="6135"/>
    <cellStyle name="표준 2 3 3 2 2 5 3 2" xfId="17383"/>
    <cellStyle name="표준 2 3 3 2 2 5 4" xfId="3694"/>
    <cellStyle name="표준 2 3 3 2 2 5 4 2" xfId="14945"/>
    <cellStyle name="표준 2 3 3 2 2 5 5" xfId="2786"/>
    <cellStyle name="표준 2 3 3 2 2 5 5 2" xfId="14064"/>
    <cellStyle name="표준 2 3 3 2 2 5 6" xfId="12604"/>
    <cellStyle name="표준 2 3 3 2 2 6" xfId="8402"/>
    <cellStyle name="표준 2 3 3 2 2 6 2" xfId="19650"/>
    <cellStyle name="표준 2 3 3 2 2 7" xfId="5964"/>
    <cellStyle name="표준 2 3 3 2 2 7 2" xfId="17212"/>
    <cellStyle name="표준 2 3 3 2 2 8" xfId="10848"/>
    <cellStyle name="표준 2 3 3 2 2 8 2" xfId="22096"/>
    <cellStyle name="표준 2 3 3 2 2 9" xfId="3502"/>
    <cellStyle name="표준 2 3 3 2 2 9 2" xfId="14774"/>
    <cellStyle name="표준 2 3 3 2 3" xfId="233"/>
    <cellStyle name="표준 2 3 3 2 3 10" xfId="11872"/>
    <cellStyle name="표준 2 3 3 2 3 2" xfId="517"/>
    <cellStyle name="표준 2 3 3 2 3 2 2" xfId="1605"/>
    <cellStyle name="표준 2 3 3 2 3 2 2 2" xfId="5429"/>
    <cellStyle name="표준 2 3 3 2 3 2 2 2 2" xfId="10306"/>
    <cellStyle name="표준 2 3 3 2 3 2 2 2 2 2" xfId="21554"/>
    <cellStyle name="표준 2 3 3 2 3 2 2 2 3" xfId="7868"/>
    <cellStyle name="표준 2 3 3 2 3 2 2 2 3 2" xfId="19116"/>
    <cellStyle name="표준 2 3 3 2 3 2 2 2 4" xfId="16678"/>
    <cellStyle name="표준 2 3 3 2 3 2 2 3" xfId="9316"/>
    <cellStyle name="표준 2 3 3 2 3 2 2 3 2" xfId="20564"/>
    <cellStyle name="표준 2 3 3 2 3 2 2 4" xfId="6878"/>
    <cellStyle name="표준 2 3 3 2 3 2 2 4 2" xfId="18126"/>
    <cellStyle name="표준 2 3 3 2 3 2 2 5" xfId="4437"/>
    <cellStyle name="표준 2 3 3 2 3 2 2 5 2" xfId="15688"/>
    <cellStyle name="표준 2 3 3 2 3 2 2 6" xfId="3217"/>
    <cellStyle name="표준 2 3 3 2 3 2 2 6 2" xfId="14495"/>
    <cellStyle name="표준 2 3 3 2 3 2 2 7" xfId="13035"/>
    <cellStyle name="표준 2 3 3 2 3 2 3" xfId="4976"/>
    <cellStyle name="표준 2 3 3 2 3 2 3 2" xfId="9853"/>
    <cellStyle name="표준 2 3 3 2 3 2 3 2 2" xfId="21101"/>
    <cellStyle name="표준 2 3 3 2 3 2 3 3" xfId="7415"/>
    <cellStyle name="표준 2 3 3 2 3 2 3 3 2" xfId="18663"/>
    <cellStyle name="표준 2 3 3 2 3 2 3 4" xfId="16225"/>
    <cellStyle name="표준 2 3 3 2 3 2 4" xfId="8863"/>
    <cellStyle name="표준 2 3 3 2 3 2 4 2" xfId="20111"/>
    <cellStyle name="표준 2 3 3 2 3 2 5" xfId="6425"/>
    <cellStyle name="표준 2 3 3 2 3 2 5 2" xfId="17673"/>
    <cellStyle name="표준 2 3 3 2 3 2 6" xfId="3984"/>
    <cellStyle name="표준 2 3 3 2 3 2 6 2" xfId="15235"/>
    <cellStyle name="표준 2 3 3 2 3 2 7" xfId="2189"/>
    <cellStyle name="표준 2 3 3 2 3 2 7 2" xfId="13616"/>
    <cellStyle name="표준 2 3 3 2 3 2 8" xfId="12156"/>
    <cellStyle name="표준 2 3 3 2 3 3" xfId="1220"/>
    <cellStyle name="표준 2 3 3 2 3 3 2" xfId="5202"/>
    <cellStyle name="표준 2 3 3 2 3 3 2 2" xfId="10079"/>
    <cellStyle name="표준 2 3 3 2 3 3 2 2 2" xfId="21327"/>
    <cellStyle name="표준 2 3 3 2 3 3 2 3" xfId="7641"/>
    <cellStyle name="표준 2 3 3 2 3 3 2 3 2" xfId="18889"/>
    <cellStyle name="표준 2 3 3 2 3 3 2 4" xfId="16451"/>
    <cellStyle name="표준 2 3 3 2 3 3 3" xfId="9089"/>
    <cellStyle name="표준 2 3 3 2 3 3 3 2" xfId="20337"/>
    <cellStyle name="표준 2 3 3 2 3 3 4" xfId="6651"/>
    <cellStyle name="표준 2 3 3 2 3 3 4 2" xfId="17899"/>
    <cellStyle name="표준 2 3 3 2 3 3 5" xfId="4210"/>
    <cellStyle name="표준 2 3 3 2 3 3 5 2" xfId="15461"/>
    <cellStyle name="표준 2 3 3 2 3 3 6" xfId="2841"/>
    <cellStyle name="표준 2 3 3 2 3 3 6 2" xfId="14119"/>
    <cellStyle name="표준 2 3 3 2 3 3 7" xfId="12659"/>
    <cellStyle name="표준 2 3 3 2 3 4" xfId="4750"/>
    <cellStyle name="표준 2 3 3 2 3 4 2" xfId="9627"/>
    <cellStyle name="표준 2 3 3 2 3 4 2 2" xfId="20875"/>
    <cellStyle name="표준 2 3 3 2 3 4 3" xfId="7189"/>
    <cellStyle name="표준 2 3 3 2 3 4 3 2" xfId="18437"/>
    <cellStyle name="표준 2 3 3 2 3 4 4" xfId="15999"/>
    <cellStyle name="표준 2 3 3 2 3 5" xfId="8637"/>
    <cellStyle name="표준 2 3 3 2 3 5 2" xfId="19885"/>
    <cellStyle name="표준 2 3 3 2 3 6" xfId="6199"/>
    <cellStyle name="표준 2 3 3 2 3 6 2" xfId="17447"/>
    <cellStyle name="표준 2 3 3 2 3 7" xfId="10950"/>
    <cellStyle name="표준 2 3 3 2 3 7 2" xfId="22197"/>
    <cellStyle name="표준 2 3 3 2 3 8" xfId="3758"/>
    <cellStyle name="표준 2 3 3 2 3 8 2" xfId="15009"/>
    <cellStyle name="표준 2 3 3 2 3 9" xfId="1905"/>
    <cellStyle name="표준 2 3 3 2 3 9 2" xfId="13332"/>
    <cellStyle name="표준 2 3 3 2 4" xfId="407"/>
    <cellStyle name="표준 2 3 3 2 4 2" xfId="1505"/>
    <cellStyle name="표준 2 3 3 2 4 2 2" xfId="5291"/>
    <cellStyle name="표준 2 3 3 2 4 2 2 2" xfId="10168"/>
    <cellStyle name="표준 2 3 3 2 4 2 2 2 2" xfId="21416"/>
    <cellStyle name="표준 2 3 3 2 4 2 2 3" xfId="7730"/>
    <cellStyle name="표준 2 3 3 2 4 2 2 3 2" xfId="18978"/>
    <cellStyle name="표준 2 3 3 2 4 2 2 4" xfId="16540"/>
    <cellStyle name="표준 2 3 3 2 4 2 3" xfId="9178"/>
    <cellStyle name="표준 2 3 3 2 4 2 3 2" xfId="20426"/>
    <cellStyle name="표준 2 3 3 2 4 2 4" xfId="6740"/>
    <cellStyle name="표준 2 3 3 2 4 2 4 2" xfId="17988"/>
    <cellStyle name="표준 2 3 3 2 4 2 5" xfId="4299"/>
    <cellStyle name="표준 2 3 3 2 4 2 5 2" xfId="15550"/>
    <cellStyle name="표준 2 3 3 2 4 2 6" xfId="3117"/>
    <cellStyle name="표준 2 3 3 2 4 2 6 2" xfId="14395"/>
    <cellStyle name="표준 2 3 3 2 4 2 7" xfId="12935"/>
    <cellStyle name="표준 2 3 3 2 4 3" xfId="1110"/>
    <cellStyle name="표준 2 3 3 2 4 3 2" xfId="9715"/>
    <cellStyle name="표준 2 3 3 2 4 3 2 2" xfId="20963"/>
    <cellStyle name="표준 2 3 3 2 4 3 3" xfId="7277"/>
    <cellStyle name="표준 2 3 3 2 4 3 3 2" xfId="18525"/>
    <cellStyle name="표준 2 3 3 2 4 3 4" xfId="4838"/>
    <cellStyle name="표준 2 3 3 2 4 3 4 2" xfId="16087"/>
    <cellStyle name="표준 2 3 3 2 4 3 5" xfId="2731"/>
    <cellStyle name="표준 2 3 3 2 4 3 5 2" xfId="14009"/>
    <cellStyle name="표준 2 3 3 2 4 3 6" xfId="12549"/>
    <cellStyle name="표준 2 3 3 2 4 4" xfId="8725"/>
    <cellStyle name="표준 2 3 3 2 4 4 2" xfId="19973"/>
    <cellStyle name="표준 2 3 3 2 4 5" xfId="6287"/>
    <cellStyle name="표준 2 3 3 2 4 5 2" xfId="17535"/>
    <cellStyle name="표준 2 3 3 2 4 6" xfId="3846"/>
    <cellStyle name="표준 2 3 3 2 4 6 2" xfId="15097"/>
    <cellStyle name="표준 2 3 3 2 4 7" xfId="2079"/>
    <cellStyle name="표준 2 3 3 2 4 7 2" xfId="13506"/>
    <cellStyle name="표준 2 3 3 2 4 8" xfId="12046"/>
    <cellStyle name="표준 2 3 3 2 5" xfId="352"/>
    <cellStyle name="표준 2 3 3 2 5 2" xfId="1721"/>
    <cellStyle name="표준 2 3 3 2 5 2 2" xfId="9941"/>
    <cellStyle name="표준 2 3 3 2 5 2 2 2" xfId="21189"/>
    <cellStyle name="표준 2 3 3 2 5 2 3" xfId="7503"/>
    <cellStyle name="표준 2 3 3 2 5 2 3 2" xfId="18751"/>
    <cellStyle name="표준 2 3 3 2 5 2 4" xfId="5064"/>
    <cellStyle name="표준 2 3 3 2 5 2 4 2" xfId="16313"/>
    <cellStyle name="표준 2 3 3 2 5 2 5" xfId="3333"/>
    <cellStyle name="표준 2 3 3 2 5 2 5 2" xfId="14611"/>
    <cellStyle name="표준 2 3 3 2 5 2 6" xfId="13151"/>
    <cellStyle name="표준 2 3 3 2 5 3" xfId="1339"/>
    <cellStyle name="표준 2 3 3 2 5 3 2" xfId="8951"/>
    <cellStyle name="표준 2 3 3 2 5 3 2 2" xfId="20199"/>
    <cellStyle name="표준 2 3 3 2 5 3 3" xfId="2960"/>
    <cellStyle name="표준 2 3 3 2 5 3 3 2" xfId="14238"/>
    <cellStyle name="표준 2 3 3 2 5 3 4" xfId="12778"/>
    <cellStyle name="표준 2 3 3 2 5 4" xfId="6513"/>
    <cellStyle name="표준 2 3 3 2 5 4 2" xfId="17761"/>
    <cellStyle name="표준 2 3 3 2 5 5" xfId="4072"/>
    <cellStyle name="표준 2 3 3 2 5 5 2" xfId="15323"/>
    <cellStyle name="표준 2 3 3 2 5 6" xfId="2024"/>
    <cellStyle name="표준 2 3 3 2 5 6 2" xfId="13451"/>
    <cellStyle name="표준 2 3 3 2 5 7" xfId="11991"/>
    <cellStyle name="표준 2 3 3 2 6" xfId="693"/>
    <cellStyle name="표준 2 3 3 2 6 2" xfId="1429"/>
    <cellStyle name="표준 2 3 3 2 6 2 2" xfId="10400"/>
    <cellStyle name="표준 2 3 3 2 6 2 2 2" xfId="21648"/>
    <cellStyle name="표준 2 3 3 2 6 2 3" xfId="7962"/>
    <cellStyle name="표준 2 3 3 2 6 2 3 2" xfId="19210"/>
    <cellStyle name="표준 2 3 3 2 6 2 4" xfId="5523"/>
    <cellStyle name="표준 2 3 3 2 6 2 4 2" xfId="16772"/>
    <cellStyle name="표준 2 3 3 2 6 2 5" xfId="3043"/>
    <cellStyle name="표준 2 3 3 2 6 2 5 2" xfId="14321"/>
    <cellStyle name="표준 2 3 3 2 6 2 6" xfId="12861"/>
    <cellStyle name="표준 2 3 3 2 6 3" xfId="9410"/>
    <cellStyle name="표준 2 3 3 2 6 3 2" xfId="20658"/>
    <cellStyle name="표준 2 3 3 2 6 4" xfId="6972"/>
    <cellStyle name="표준 2 3 3 2 6 4 2" xfId="18220"/>
    <cellStyle name="표준 2 3 3 2 6 5" xfId="4533"/>
    <cellStyle name="표준 2 3 3 2 6 5 2" xfId="15782"/>
    <cellStyle name="표준 2 3 3 2 6 6" xfId="2325"/>
    <cellStyle name="표준 2 3 3 2 6 6 2" xfId="13738"/>
    <cellStyle name="표준 2 3 3 2 6 7" xfId="12278"/>
    <cellStyle name="표준 2 3 3 2 7" xfId="1055"/>
    <cellStyle name="표준 2 3 3 2 7 2" xfId="9489"/>
    <cellStyle name="표준 2 3 3 2 7 2 2" xfId="20737"/>
    <cellStyle name="표준 2 3 3 2 7 3" xfId="7051"/>
    <cellStyle name="표준 2 3 3 2 7 3 2" xfId="18299"/>
    <cellStyle name="표준 2 3 3 2 7 4" xfId="4612"/>
    <cellStyle name="표준 2 3 3 2 7 4 2" xfId="15861"/>
    <cellStyle name="표준 2 3 3 2 7 5" xfId="2676"/>
    <cellStyle name="표준 2 3 3 2 7 5 2" xfId="13954"/>
    <cellStyle name="표준 2 3 3 2 7 6" xfId="12494"/>
    <cellStyle name="표준 2 3 3 2 8" xfId="991"/>
    <cellStyle name="표준 2 3 3 2 8 2" xfId="10484"/>
    <cellStyle name="표준 2 3 3 2 8 2 2" xfId="21732"/>
    <cellStyle name="표준 2 3 3 2 8 3" xfId="8046"/>
    <cellStyle name="표준 2 3 3 2 8 3 2" xfId="19294"/>
    <cellStyle name="표준 2 3 3 2 8 4" xfId="5607"/>
    <cellStyle name="표준 2 3 3 2 8 4 2" xfId="16856"/>
    <cellStyle name="표준 2 3 3 2 8 5" xfId="2612"/>
    <cellStyle name="표준 2 3 3 2 8 5 2" xfId="13890"/>
    <cellStyle name="표준 2 3 3 2 8 6" xfId="12430"/>
    <cellStyle name="표준 2 3 3 2 9" xfId="5713"/>
    <cellStyle name="표준 2 3 3 2 9 2" xfId="10590"/>
    <cellStyle name="표준 2 3 3 2 9 2 2" xfId="21838"/>
    <cellStyle name="표준 2 3 3 2 9 3" xfId="8152"/>
    <cellStyle name="표준 2 3 3 2 9 3 2" xfId="19400"/>
    <cellStyle name="표준 2 3 3 2 9 4" xfId="16962"/>
    <cellStyle name="표준 2 3 3 3" xfId="102"/>
    <cellStyle name="표준 2 3 3 3 10" xfId="1818"/>
    <cellStyle name="표준 2 3 3 3 10 2" xfId="13247"/>
    <cellStyle name="표준 2 3 3 3 11" xfId="11787"/>
    <cellStyle name="표준 2 3 3 3 2" xfId="258"/>
    <cellStyle name="표준 2 3 3 3 2 2" xfId="542"/>
    <cellStyle name="표준 2 3 3 3 2 2 2" xfId="1630"/>
    <cellStyle name="표준 2 3 3 3 2 2 2 2" xfId="10219"/>
    <cellStyle name="표준 2 3 3 3 2 2 2 2 2" xfId="21467"/>
    <cellStyle name="표준 2 3 3 3 2 2 2 3" xfId="7781"/>
    <cellStyle name="표준 2 3 3 3 2 2 2 3 2" xfId="19029"/>
    <cellStyle name="표준 2 3 3 3 2 2 2 4" xfId="5342"/>
    <cellStyle name="표준 2 3 3 3 2 2 2 4 2" xfId="16591"/>
    <cellStyle name="표준 2 3 3 3 2 2 2 5" xfId="3242"/>
    <cellStyle name="표준 2 3 3 3 2 2 2 5 2" xfId="14520"/>
    <cellStyle name="표준 2 3 3 3 2 2 2 6" xfId="13060"/>
    <cellStyle name="표준 2 3 3 3 2 2 3" xfId="9229"/>
    <cellStyle name="표준 2 3 3 3 2 2 3 2" xfId="20477"/>
    <cellStyle name="표준 2 3 3 3 2 2 4" xfId="6791"/>
    <cellStyle name="표준 2 3 3 3 2 2 4 2" xfId="18039"/>
    <cellStyle name="표준 2 3 3 3 2 2 5" xfId="4350"/>
    <cellStyle name="표준 2 3 3 3 2 2 5 2" xfId="15601"/>
    <cellStyle name="표준 2 3 3 3 2 2 6" xfId="2214"/>
    <cellStyle name="표준 2 3 3 3 2 2 6 2" xfId="13641"/>
    <cellStyle name="표준 2 3 3 3 2 2 7" xfId="12181"/>
    <cellStyle name="표준 2 3 3 3 2 3" xfId="1245"/>
    <cellStyle name="표준 2 3 3 3 2 3 2" xfId="9766"/>
    <cellStyle name="표준 2 3 3 3 2 3 2 2" xfId="21014"/>
    <cellStyle name="표준 2 3 3 3 2 3 3" xfId="7328"/>
    <cellStyle name="표준 2 3 3 3 2 3 3 2" xfId="18576"/>
    <cellStyle name="표준 2 3 3 3 2 3 4" xfId="4889"/>
    <cellStyle name="표준 2 3 3 3 2 3 4 2" xfId="16138"/>
    <cellStyle name="표준 2 3 3 3 2 3 5" xfId="2866"/>
    <cellStyle name="표준 2 3 3 3 2 3 5 2" xfId="14144"/>
    <cellStyle name="표준 2 3 3 3 2 3 6" xfId="12684"/>
    <cellStyle name="표준 2 3 3 3 2 4" xfId="8776"/>
    <cellStyle name="표준 2 3 3 3 2 4 2" xfId="20024"/>
    <cellStyle name="표준 2 3 3 3 2 5" xfId="6338"/>
    <cellStyle name="표준 2 3 3 3 2 5 2" xfId="17586"/>
    <cellStyle name="표준 2 3 3 3 2 6" xfId="11032"/>
    <cellStyle name="표준 2 3 3 3 2 6 2" xfId="22279"/>
    <cellStyle name="표준 2 3 3 3 2 7" xfId="3897"/>
    <cellStyle name="표준 2 3 3 3 2 7 2" xfId="15148"/>
    <cellStyle name="표준 2 3 3 3 2 8" xfId="1930"/>
    <cellStyle name="표준 2 3 3 3 2 8 2" xfId="13357"/>
    <cellStyle name="표준 2 3 3 3 2 9" xfId="11897"/>
    <cellStyle name="표준 2 3 3 3 3" xfId="432"/>
    <cellStyle name="표준 2 3 3 3 3 2" xfId="1525"/>
    <cellStyle name="표준 2 3 3 3 3 2 2" xfId="9992"/>
    <cellStyle name="표준 2 3 3 3 3 2 2 2" xfId="21240"/>
    <cellStyle name="표준 2 3 3 3 3 2 3" xfId="7554"/>
    <cellStyle name="표준 2 3 3 3 3 2 3 2" xfId="18802"/>
    <cellStyle name="표준 2 3 3 3 3 2 4" xfId="5115"/>
    <cellStyle name="표준 2 3 3 3 3 2 4 2" xfId="16364"/>
    <cellStyle name="표준 2 3 3 3 3 2 5" xfId="3137"/>
    <cellStyle name="표준 2 3 3 3 3 2 5 2" xfId="14415"/>
    <cellStyle name="표준 2 3 3 3 3 2 6" xfId="12955"/>
    <cellStyle name="표준 2 3 3 3 3 3" xfId="9002"/>
    <cellStyle name="표준 2 3 3 3 3 3 2" xfId="20250"/>
    <cellStyle name="표준 2 3 3 3 3 4" xfId="6564"/>
    <cellStyle name="표준 2 3 3 3 3 4 2" xfId="17812"/>
    <cellStyle name="표준 2 3 3 3 3 5" xfId="4123"/>
    <cellStyle name="표준 2 3 3 3 3 5 2" xfId="15374"/>
    <cellStyle name="표준 2 3 3 3 3 6" xfId="2104"/>
    <cellStyle name="표준 2 3 3 3 3 6 2" xfId="13531"/>
    <cellStyle name="표준 2 3 3 3 3 7" xfId="12071"/>
    <cellStyle name="표준 2 3 3 3 4" xfId="775"/>
    <cellStyle name="표준 2 3 3 3 4 2" xfId="9540"/>
    <cellStyle name="표준 2 3 3 3 4 2 2" xfId="20788"/>
    <cellStyle name="표준 2 3 3 3 4 3" xfId="7102"/>
    <cellStyle name="표준 2 3 3 3 4 3 2" xfId="18350"/>
    <cellStyle name="표준 2 3 3 3 4 4" xfId="4663"/>
    <cellStyle name="표준 2 3 3 3 4 4 2" xfId="15912"/>
    <cellStyle name="표준 2 3 3 3 4 5" xfId="2402"/>
    <cellStyle name="표준 2 3 3 3 4 5 2" xfId="13797"/>
    <cellStyle name="표준 2 3 3 3 4 6" xfId="12337"/>
    <cellStyle name="표준 2 3 3 3 5" xfId="1135"/>
    <cellStyle name="표준 2 3 3 3 5 2" xfId="8572"/>
    <cellStyle name="표준 2 3 3 3 5 2 2" xfId="19820"/>
    <cellStyle name="표준 2 3 3 3 5 3" xfId="6134"/>
    <cellStyle name="표준 2 3 3 3 5 3 2" xfId="17382"/>
    <cellStyle name="표준 2 3 3 3 5 4" xfId="3693"/>
    <cellStyle name="표준 2 3 3 3 5 4 2" xfId="14944"/>
    <cellStyle name="표준 2 3 3 3 5 5" xfId="2756"/>
    <cellStyle name="표준 2 3 3 3 5 5 2" xfId="14034"/>
    <cellStyle name="표준 2 3 3 3 5 6" xfId="12574"/>
    <cellStyle name="표준 2 3 3 3 6" xfId="8401"/>
    <cellStyle name="표준 2 3 3 3 6 2" xfId="19649"/>
    <cellStyle name="표준 2 3 3 3 7" xfId="5963"/>
    <cellStyle name="표준 2 3 3 3 7 2" xfId="17211"/>
    <cellStyle name="표준 2 3 3 3 8" xfId="10847"/>
    <cellStyle name="표준 2 3 3 3 8 2" xfId="22095"/>
    <cellStyle name="표준 2 3 3 3 9" xfId="3501"/>
    <cellStyle name="표준 2 3 3 3 9 2" xfId="14773"/>
    <cellStyle name="표준 2 3 3 4" xfId="214"/>
    <cellStyle name="표준 2 3 3 4 10" xfId="11853"/>
    <cellStyle name="표준 2 3 3 4 2" xfId="498"/>
    <cellStyle name="표준 2 3 3 4 2 2" xfId="1586"/>
    <cellStyle name="표준 2 3 3 4 2 2 2" xfId="5428"/>
    <cellStyle name="표준 2 3 3 4 2 2 2 2" xfId="10305"/>
    <cellStyle name="표준 2 3 3 4 2 2 2 2 2" xfId="21553"/>
    <cellStyle name="표준 2 3 3 4 2 2 2 3" xfId="7867"/>
    <cellStyle name="표준 2 3 3 4 2 2 2 3 2" xfId="19115"/>
    <cellStyle name="표준 2 3 3 4 2 2 2 4" xfId="16677"/>
    <cellStyle name="표준 2 3 3 4 2 2 3" xfId="9315"/>
    <cellStyle name="표준 2 3 3 4 2 2 3 2" xfId="20563"/>
    <cellStyle name="표준 2 3 3 4 2 2 4" xfId="6877"/>
    <cellStyle name="표준 2 3 3 4 2 2 4 2" xfId="18125"/>
    <cellStyle name="표준 2 3 3 4 2 2 5" xfId="4436"/>
    <cellStyle name="표준 2 3 3 4 2 2 5 2" xfId="15687"/>
    <cellStyle name="표준 2 3 3 4 2 2 6" xfId="3198"/>
    <cellStyle name="표준 2 3 3 4 2 2 6 2" xfId="14476"/>
    <cellStyle name="표준 2 3 3 4 2 2 7" xfId="13016"/>
    <cellStyle name="표준 2 3 3 4 2 3" xfId="4975"/>
    <cellStyle name="표준 2 3 3 4 2 3 2" xfId="9852"/>
    <cellStyle name="표준 2 3 3 4 2 3 2 2" xfId="21100"/>
    <cellStyle name="표준 2 3 3 4 2 3 3" xfId="7414"/>
    <cellStyle name="표준 2 3 3 4 2 3 3 2" xfId="18662"/>
    <cellStyle name="표준 2 3 3 4 2 3 4" xfId="16224"/>
    <cellStyle name="표준 2 3 3 4 2 4" xfId="8862"/>
    <cellStyle name="표준 2 3 3 4 2 4 2" xfId="20110"/>
    <cellStyle name="표준 2 3 3 4 2 5" xfId="6424"/>
    <cellStyle name="표준 2 3 3 4 2 5 2" xfId="17672"/>
    <cellStyle name="표준 2 3 3 4 2 6" xfId="3983"/>
    <cellStyle name="표준 2 3 3 4 2 6 2" xfId="15234"/>
    <cellStyle name="표준 2 3 3 4 2 7" xfId="2170"/>
    <cellStyle name="표준 2 3 3 4 2 7 2" xfId="13597"/>
    <cellStyle name="표준 2 3 3 4 2 8" xfId="12137"/>
    <cellStyle name="표준 2 3 3 4 3" xfId="1201"/>
    <cellStyle name="표준 2 3 3 4 3 2" xfId="5201"/>
    <cellStyle name="표준 2 3 3 4 3 2 2" xfId="10078"/>
    <cellStyle name="표준 2 3 3 4 3 2 2 2" xfId="21326"/>
    <cellStyle name="표준 2 3 3 4 3 2 3" xfId="7640"/>
    <cellStyle name="표준 2 3 3 4 3 2 3 2" xfId="18888"/>
    <cellStyle name="표준 2 3 3 4 3 2 4" xfId="16450"/>
    <cellStyle name="표준 2 3 3 4 3 3" xfId="9088"/>
    <cellStyle name="표준 2 3 3 4 3 3 2" xfId="20336"/>
    <cellStyle name="표준 2 3 3 4 3 4" xfId="6650"/>
    <cellStyle name="표준 2 3 3 4 3 4 2" xfId="17898"/>
    <cellStyle name="표준 2 3 3 4 3 5" xfId="4209"/>
    <cellStyle name="표준 2 3 3 4 3 5 2" xfId="15460"/>
    <cellStyle name="표준 2 3 3 4 3 6" xfId="2822"/>
    <cellStyle name="표준 2 3 3 4 3 6 2" xfId="14100"/>
    <cellStyle name="표준 2 3 3 4 3 7" xfId="12640"/>
    <cellStyle name="표준 2 3 3 4 4" xfId="4749"/>
    <cellStyle name="표준 2 3 3 4 4 2" xfId="9626"/>
    <cellStyle name="표준 2 3 3 4 4 2 2" xfId="20874"/>
    <cellStyle name="표준 2 3 3 4 4 3" xfId="7188"/>
    <cellStyle name="표준 2 3 3 4 4 3 2" xfId="18436"/>
    <cellStyle name="표준 2 3 3 4 4 4" xfId="15998"/>
    <cellStyle name="표준 2 3 3 4 5" xfId="8636"/>
    <cellStyle name="표준 2 3 3 4 5 2" xfId="19884"/>
    <cellStyle name="표준 2 3 3 4 6" xfId="6198"/>
    <cellStyle name="표준 2 3 3 4 6 2" xfId="17446"/>
    <cellStyle name="표준 2 3 3 4 7" xfId="10949"/>
    <cellStyle name="표준 2 3 3 4 7 2" xfId="22196"/>
    <cellStyle name="표준 2 3 3 4 8" xfId="3757"/>
    <cellStyle name="표준 2 3 3 4 8 2" xfId="15008"/>
    <cellStyle name="표준 2 3 3 4 9" xfId="1886"/>
    <cellStyle name="표준 2 3 3 4 9 2" xfId="13313"/>
    <cellStyle name="표준 2 3 3 5" xfId="388"/>
    <cellStyle name="표준 2 3 3 5 2" xfId="1486"/>
    <cellStyle name="표준 2 3 3 5 2 2" xfId="5269"/>
    <cellStyle name="표준 2 3 3 5 2 2 2" xfId="10146"/>
    <cellStyle name="표준 2 3 3 5 2 2 2 2" xfId="21394"/>
    <cellStyle name="표준 2 3 3 5 2 2 3" xfId="7708"/>
    <cellStyle name="표준 2 3 3 5 2 2 3 2" xfId="18956"/>
    <cellStyle name="표준 2 3 3 5 2 2 4" xfId="16518"/>
    <cellStyle name="표준 2 3 3 5 2 3" xfId="9156"/>
    <cellStyle name="표준 2 3 3 5 2 3 2" xfId="20404"/>
    <cellStyle name="표준 2 3 3 5 2 4" xfId="6718"/>
    <cellStyle name="표준 2 3 3 5 2 4 2" xfId="17966"/>
    <cellStyle name="표준 2 3 3 5 2 5" xfId="4277"/>
    <cellStyle name="표준 2 3 3 5 2 5 2" xfId="15528"/>
    <cellStyle name="표준 2 3 3 5 2 6" xfId="3098"/>
    <cellStyle name="표준 2 3 3 5 2 6 2" xfId="14376"/>
    <cellStyle name="표준 2 3 3 5 2 7" xfId="12916"/>
    <cellStyle name="표준 2 3 3 5 3" xfId="1091"/>
    <cellStyle name="표준 2 3 3 5 3 2" xfId="9693"/>
    <cellStyle name="표준 2 3 3 5 3 2 2" xfId="20941"/>
    <cellStyle name="표준 2 3 3 5 3 3" xfId="7255"/>
    <cellStyle name="표준 2 3 3 5 3 3 2" xfId="18503"/>
    <cellStyle name="표준 2 3 3 5 3 4" xfId="4816"/>
    <cellStyle name="표준 2 3 3 5 3 4 2" xfId="16065"/>
    <cellStyle name="표준 2 3 3 5 3 5" xfId="2712"/>
    <cellStyle name="표준 2 3 3 5 3 5 2" xfId="13990"/>
    <cellStyle name="표준 2 3 3 5 3 6" xfId="12530"/>
    <cellStyle name="표준 2 3 3 5 4" xfId="8703"/>
    <cellStyle name="표준 2 3 3 5 4 2" xfId="19951"/>
    <cellStyle name="표준 2 3 3 5 5" xfId="6265"/>
    <cellStyle name="표준 2 3 3 5 5 2" xfId="17513"/>
    <cellStyle name="표준 2 3 3 5 6" xfId="3824"/>
    <cellStyle name="표준 2 3 3 5 6 2" xfId="15075"/>
    <cellStyle name="표준 2 3 3 5 7" xfId="2060"/>
    <cellStyle name="표준 2 3 3 5 7 2" xfId="13487"/>
    <cellStyle name="표준 2 3 3 5 8" xfId="12027"/>
    <cellStyle name="표준 2 3 3 6" xfId="322"/>
    <cellStyle name="표준 2 3 3 6 2" xfId="1720"/>
    <cellStyle name="표준 2 3 3 6 2 2" xfId="9919"/>
    <cellStyle name="표준 2 3 3 6 2 2 2" xfId="21167"/>
    <cellStyle name="표준 2 3 3 6 2 3" xfId="7481"/>
    <cellStyle name="표준 2 3 3 6 2 3 2" xfId="18729"/>
    <cellStyle name="표준 2 3 3 6 2 4" xfId="5042"/>
    <cellStyle name="표준 2 3 3 6 2 4 2" xfId="16291"/>
    <cellStyle name="표준 2 3 3 6 2 5" xfId="3332"/>
    <cellStyle name="표준 2 3 3 6 2 5 2" xfId="14610"/>
    <cellStyle name="표준 2 3 3 6 2 6" xfId="13150"/>
    <cellStyle name="표준 2 3 3 6 3" xfId="1338"/>
    <cellStyle name="표준 2 3 3 6 3 2" xfId="8929"/>
    <cellStyle name="표준 2 3 3 6 3 2 2" xfId="20177"/>
    <cellStyle name="표준 2 3 3 6 3 3" xfId="2959"/>
    <cellStyle name="표준 2 3 3 6 3 3 2" xfId="14237"/>
    <cellStyle name="표준 2 3 3 6 3 4" xfId="12777"/>
    <cellStyle name="표준 2 3 3 6 4" xfId="6491"/>
    <cellStyle name="표준 2 3 3 6 4 2" xfId="17739"/>
    <cellStyle name="표준 2 3 3 6 5" xfId="4050"/>
    <cellStyle name="표준 2 3 3 6 5 2" xfId="15301"/>
    <cellStyle name="표준 2 3 3 6 6" xfId="1994"/>
    <cellStyle name="표준 2 3 3 6 6 2" xfId="13421"/>
    <cellStyle name="표준 2 3 3 6 7" xfId="11961"/>
    <cellStyle name="표준 2 3 3 7" xfId="615"/>
    <cellStyle name="표준 2 3 3 7 2" xfId="1428"/>
    <cellStyle name="표준 2 3 3 7 2 2" xfId="10399"/>
    <cellStyle name="표준 2 3 3 7 2 2 2" xfId="21647"/>
    <cellStyle name="표준 2 3 3 7 2 3" xfId="7961"/>
    <cellStyle name="표준 2 3 3 7 2 3 2" xfId="19209"/>
    <cellStyle name="표준 2 3 3 7 2 4" xfId="5522"/>
    <cellStyle name="표준 2 3 3 7 2 4 2" xfId="16771"/>
    <cellStyle name="표준 2 3 3 7 2 5" xfId="3042"/>
    <cellStyle name="표준 2 3 3 7 2 5 2" xfId="14320"/>
    <cellStyle name="표준 2 3 3 7 2 6" xfId="12860"/>
    <cellStyle name="표준 2 3 3 7 3" xfId="9409"/>
    <cellStyle name="표준 2 3 3 7 3 2" xfId="20657"/>
    <cellStyle name="표준 2 3 3 7 4" xfId="6971"/>
    <cellStyle name="표준 2 3 3 7 4 2" xfId="18219"/>
    <cellStyle name="표준 2 3 3 7 5" xfId="4532"/>
    <cellStyle name="표준 2 3 3 7 5 2" xfId="15781"/>
    <cellStyle name="표준 2 3 3 7 6" xfId="2287"/>
    <cellStyle name="표준 2 3 3 7 6 2" xfId="13706"/>
    <cellStyle name="표준 2 3 3 7 7" xfId="12246"/>
    <cellStyle name="표준 2 3 3 8" xfId="1025"/>
    <cellStyle name="표준 2 3 3 8 2" xfId="9467"/>
    <cellStyle name="표준 2 3 3 8 2 2" xfId="20715"/>
    <cellStyle name="표준 2 3 3 8 3" xfId="7029"/>
    <cellStyle name="표준 2 3 3 8 3 2" xfId="18277"/>
    <cellStyle name="표준 2 3 3 8 4" xfId="4590"/>
    <cellStyle name="표준 2 3 3 8 4 2" xfId="15839"/>
    <cellStyle name="표준 2 3 3 8 5" xfId="2646"/>
    <cellStyle name="표준 2 3 3 8 5 2" xfId="13924"/>
    <cellStyle name="표준 2 3 3 8 6" xfId="12464"/>
    <cellStyle name="표준 2 3 3 9" xfId="961"/>
    <cellStyle name="표준 2 3 3 9 2" xfId="10483"/>
    <cellStyle name="표준 2 3 3 9 2 2" xfId="21731"/>
    <cellStyle name="표준 2 3 3 9 3" xfId="8045"/>
    <cellStyle name="표준 2 3 3 9 3 2" xfId="19293"/>
    <cellStyle name="표준 2 3 3 9 4" xfId="5606"/>
    <cellStyle name="표준 2 3 3 9 4 2" xfId="16855"/>
    <cellStyle name="표준 2 3 3 9 5" xfId="2583"/>
    <cellStyle name="표준 2 3 3 9 5 2" xfId="13861"/>
    <cellStyle name="표준 2 3 3 9 6" xfId="12401"/>
    <cellStyle name="표준 2 3 4" xfId="61"/>
    <cellStyle name="표준 2 3 4 10" xfId="8320"/>
    <cellStyle name="표준 2 3 4 10 2" xfId="19568"/>
    <cellStyle name="표준 2 3 4 11" xfId="5882"/>
    <cellStyle name="표준 2 3 4 11 2" xfId="17130"/>
    <cellStyle name="표준 2 3 4 12" xfId="10766"/>
    <cellStyle name="표준 2 3 4 12 2" xfId="22014"/>
    <cellStyle name="표준 2 3 4 13" xfId="3414"/>
    <cellStyle name="표준 2 3 4 13 2" xfId="14692"/>
    <cellStyle name="표준 2 3 4 14" xfId="1777"/>
    <cellStyle name="표준 2 3 4 14 2" xfId="13206"/>
    <cellStyle name="표준 2 3 4 15" xfId="11746"/>
    <cellStyle name="표준 2 3 4 2" xfId="80"/>
    <cellStyle name="표준 2 3 4 2 10" xfId="3601"/>
    <cellStyle name="표준 2 3 4 2 10 2" xfId="8500"/>
    <cellStyle name="표준 2 3 4 2 10 2 2" xfId="19748"/>
    <cellStyle name="표준 2 3 4 2 10 3" xfId="6062"/>
    <cellStyle name="표준 2 3 4 2 10 3 2" xfId="17310"/>
    <cellStyle name="표준 2 3 4 2 10 4" xfId="14872"/>
    <cellStyle name="표준 2 3 4 2 11" xfId="8321"/>
    <cellStyle name="표준 2 3 4 2 11 2" xfId="19569"/>
    <cellStyle name="표준 2 3 4 2 12" xfId="5883"/>
    <cellStyle name="표준 2 3 4 2 12 2" xfId="17131"/>
    <cellStyle name="표준 2 3 4 2 13" xfId="10767"/>
    <cellStyle name="표준 2 3 4 2 13 2" xfId="22015"/>
    <cellStyle name="표준 2 3 4 2 14" xfId="3415"/>
    <cellStyle name="표준 2 3 4 2 14 2" xfId="14693"/>
    <cellStyle name="표준 2 3 4 2 15" xfId="1796"/>
    <cellStyle name="표준 2 3 4 2 15 2" xfId="13225"/>
    <cellStyle name="표준 2 3 4 2 16" xfId="11765"/>
    <cellStyle name="표준 2 3 4 2 2" xfId="181"/>
    <cellStyle name="표준 2 3 4 2 2 10" xfId="1855"/>
    <cellStyle name="표준 2 3 4 2 2 10 2" xfId="13282"/>
    <cellStyle name="표준 2 3 4 2 2 11" xfId="11822"/>
    <cellStyle name="표준 2 3 4 2 2 2" xfId="293"/>
    <cellStyle name="표준 2 3 4 2 2 2 2" xfId="577"/>
    <cellStyle name="표준 2 3 4 2 2 2 2 2" xfId="1665"/>
    <cellStyle name="표준 2 3 4 2 2 2 2 2 2" xfId="10308"/>
    <cellStyle name="표준 2 3 4 2 2 2 2 2 2 2" xfId="21556"/>
    <cellStyle name="표준 2 3 4 2 2 2 2 2 3" xfId="7870"/>
    <cellStyle name="표준 2 3 4 2 2 2 2 2 3 2" xfId="19118"/>
    <cellStyle name="표준 2 3 4 2 2 2 2 2 4" xfId="5431"/>
    <cellStyle name="표준 2 3 4 2 2 2 2 2 4 2" xfId="16680"/>
    <cellStyle name="표준 2 3 4 2 2 2 2 2 5" xfId="3277"/>
    <cellStyle name="표준 2 3 4 2 2 2 2 2 5 2" xfId="14555"/>
    <cellStyle name="표준 2 3 4 2 2 2 2 2 6" xfId="13095"/>
    <cellStyle name="표준 2 3 4 2 2 2 2 3" xfId="9318"/>
    <cellStyle name="표준 2 3 4 2 2 2 2 3 2" xfId="20566"/>
    <cellStyle name="표준 2 3 4 2 2 2 2 4" xfId="6880"/>
    <cellStyle name="표준 2 3 4 2 2 2 2 4 2" xfId="18128"/>
    <cellStyle name="표준 2 3 4 2 2 2 2 5" xfId="4439"/>
    <cellStyle name="표준 2 3 4 2 2 2 2 5 2" xfId="15690"/>
    <cellStyle name="표준 2 3 4 2 2 2 2 6" xfId="2249"/>
    <cellStyle name="표준 2 3 4 2 2 2 2 6 2" xfId="13676"/>
    <cellStyle name="표준 2 3 4 2 2 2 2 7" xfId="12216"/>
    <cellStyle name="표준 2 3 4 2 2 2 3" xfId="1280"/>
    <cellStyle name="표준 2 3 4 2 2 2 3 2" xfId="9855"/>
    <cellStyle name="표준 2 3 4 2 2 2 3 2 2" xfId="21103"/>
    <cellStyle name="표준 2 3 4 2 2 2 3 3" xfId="7417"/>
    <cellStyle name="표준 2 3 4 2 2 2 3 3 2" xfId="18665"/>
    <cellStyle name="표준 2 3 4 2 2 2 3 4" xfId="4978"/>
    <cellStyle name="표준 2 3 4 2 2 2 3 4 2" xfId="16227"/>
    <cellStyle name="표준 2 3 4 2 2 2 3 5" xfId="2901"/>
    <cellStyle name="표준 2 3 4 2 2 2 3 5 2" xfId="14179"/>
    <cellStyle name="표준 2 3 4 2 2 2 3 6" xfId="12719"/>
    <cellStyle name="표준 2 3 4 2 2 2 4" xfId="8865"/>
    <cellStyle name="표준 2 3 4 2 2 2 4 2" xfId="20113"/>
    <cellStyle name="표준 2 3 4 2 2 2 5" xfId="6427"/>
    <cellStyle name="표준 2 3 4 2 2 2 5 2" xfId="17675"/>
    <cellStyle name="표준 2 3 4 2 2 2 6" xfId="11035"/>
    <cellStyle name="표준 2 3 4 2 2 2 6 2" xfId="22282"/>
    <cellStyle name="표준 2 3 4 2 2 2 7" xfId="3986"/>
    <cellStyle name="표준 2 3 4 2 2 2 7 2" xfId="15237"/>
    <cellStyle name="표준 2 3 4 2 2 2 8" xfId="1965"/>
    <cellStyle name="표준 2 3 4 2 2 2 8 2" xfId="13392"/>
    <cellStyle name="표준 2 3 4 2 2 2 9" xfId="11932"/>
    <cellStyle name="표준 2 3 4 2 2 3" xfId="467"/>
    <cellStyle name="표준 2 3 4 2 2 3 2" xfId="1560"/>
    <cellStyle name="표준 2 3 4 2 2 3 2 2" xfId="10081"/>
    <cellStyle name="표준 2 3 4 2 2 3 2 2 2" xfId="21329"/>
    <cellStyle name="표준 2 3 4 2 2 3 2 3" xfId="7643"/>
    <cellStyle name="표준 2 3 4 2 2 3 2 3 2" xfId="18891"/>
    <cellStyle name="표준 2 3 4 2 2 3 2 4" xfId="5204"/>
    <cellStyle name="표준 2 3 4 2 2 3 2 4 2" xfId="16453"/>
    <cellStyle name="표준 2 3 4 2 2 3 2 5" xfId="3172"/>
    <cellStyle name="표준 2 3 4 2 2 3 2 5 2" xfId="14450"/>
    <cellStyle name="표준 2 3 4 2 2 3 2 6" xfId="12990"/>
    <cellStyle name="표준 2 3 4 2 2 3 3" xfId="9091"/>
    <cellStyle name="표준 2 3 4 2 2 3 3 2" xfId="20339"/>
    <cellStyle name="표준 2 3 4 2 2 3 4" xfId="6653"/>
    <cellStyle name="표준 2 3 4 2 2 3 4 2" xfId="17901"/>
    <cellStyle name="표준 2 3 4 2 2 3 5" xfId="4212"/>
    <cellStyle name="표준 2 3 4 2 2 3 5 2" xfId="15463"/>
    <cellStyle name="표준 2 3 4 2 2 3 6" xfId="2139"/>
    <cellStyle name="표준 2 3 4 2 2 3 6 2" xfId="13566"/>
    <cellStyle name="표준 2 3 4 2 2 3 7" xfId="12106"/>
    <cellStyle name="표준 2 3 4 2 2 4" xfId="778"/>
    <cellStyle name="표준 2 3 4 2 2 4 2" xfId="9629"/>
    <cellStyle name="표준 2 3 4 2 2 4 2 2" xfId="20877"/>
    <cellStyle name="표준 2 3 4 2 2 4 3" xfId="7191"/>
    <cellStyle name="표준 2 3 4 2 2 4 3 2" xfId="18439"/>
    <cellStyle name="표준 2 3 4 2 2 4 4" xfId="4752"/>
    <cellStyle name="표준 2 3 4 2 2 4 4 2" xfId="16001"/>
    <cellStyle name="표준 2 3 4 2 2 4 5" xfId="2405"/>
    <cellStyle name="표준 2 3 4 2 2 4 5 2" xfId="13800"/>
    <cellStyle name="표준 2 3 4 2 2 4 6" xfId="12340"/>
    <cellStyle name="표준 2 3 4 2 2 5" xfId="1170"/>
    <cellStyle name="표준 2 3 4 2 2 5 2" xfId="8639"/>
    <cellStyle name="표준 2 3 4 2 2 5 2 2" xfId="19887"/>
    <cellStyle name="표준 2 3 4 2 2 5 3" xfId="6201"/>
    <cellStyle name="표준 2 3 4 2 2 5 3 2" xfId="17449"/>
    <cellStyle name="표준 2 3 4 2 2 5 4" xfId="3760"/>
    <cellStyle name="표준 2 3 4 2 2 5 4 2" xfId="15011"/>
    <cellStyle name="표준 2 3 4 2 2 5 5" xfId="2791"/>
    <cellStyle name="표준 2 3 4 2 2 5 5 2" xfId="14069"/>
    <cellStyle name="표준 2 3 4 2 2 5 6" xfId="12609"/>
    <cellStyle name="표준 2 3 4 2 2 6" xfId="8404"/>
    <cellStyle name="표준 2 3 4 2 2 6 2" xfId="19652"/>
    <cellStyle name="표준 2 3 4 2 2 7" xfId="5966"/>
    <cellStyle name="표준 2 3 4 2 2 7 2" xfId="17214"/>
    <cellStyle name="표준 2 3 4 2 2 8" xfId="10850"/>
    <cellStyle name="표준 2 3 4 2 2 8 2" xfId="22098"/>
    <cellStyle name="표준 2 3 4 2 2 9" xfId="3504"/>
    <cellStyle name="표준 2 3 4 2 2 9 2" xfId="14776"/>
    <cellStyle name="표준 2 3 4 2 3" xfId="236"/>
    <cellStyle name="표준 2 3 4 2 3 2" xfId="520"/>
    <cellStyle name="표준 2 3 4 2 3 2 2" xfId="1608"/>
    <cellStyle name="표준 2 3 4 2 3 2 2 2" xfId="10222"/>
    <cellStyle name="표준 2 3 4 2 3 2 2 2 2" xfId="21470"/>
    <cellStyle name="표준 2 3 4 2 3 2 2 3" xfId="7784"/>
    <cellStyle name="표준 2 3 4 2 3 2 2 3 2" xfId="19032"/>
    <cellStyle name="표준 2 3 4 2 3 2 2 4" xfId="5345"/>
    <cellStyle name="표준 2 3 4 2 3 2 2 4 2" xfId="16594"/>
    <cellStyle name="표준 2 3 4 2 3 2 2 5" xfId="3220"/>
    <cellStyle name="표준 2 3 4 2 3 2 2 5 2" xfId="14498"/>
    <cellStyle name="표준 2 3 4 2 3 2 2 6" xfId="13038"/>
    <cellStyle name="표준 2 3 4 2 3 2 3" xfId="9232"/>
    <cellStyle name="표준 2 3 4 2 3 2 3 2" xfId="20480"/>
    <cellStyle name="표준 2 3 4 2 3 2 4" xfId="6794"/>
    <cellStyle name="표준 2 3 4 2 3 2 4 2" xfId="18042"/>
    <cellStyle name="표준 2 3 4 2 3 2 5" xfId="4353"/>
    <cellStyle name="표준 2 3 4 2 3 2 5 2" xfId="15604"/>
    <cellStyle name="표준 2 3 4 2 3 2 6" xfId="2192"/>
    <cellStyle name="표준 2 3 4 2 3 2 6 2" xfId="13619"/>
    <cellStyle name="표준 2 3 4 2 3 2 7" xfId="12159"/>
    <cellStyle name="표준 2 3 4 2 3 3" xfId="1223"/>
    <cellStyle name="표준 2 3 4 2 3 3 2" xfId="9769"/>
    <cellStyle name="표준 2 3 4 2 3 3 2 2" xfId="21017"/>
    <cellStyle name="표준 2 3 4 2 3 3 3" xfId="7331"/>
    <cellStyle name="표준 2 3 4 2 3 3 3 2" xfId="18579"/>
    <cellStyle name="표준 2 3 4 2 3 3 4" xfId="4892"/>
    <cellStyle name="표준 2 3 4 2 3 3 4 2" xfId="16141"/>
    <cellStyle name="표준 2 3 4 2 3 3 5" xfId="2844"/>
    <cellStyle name="표준 2 3 4 2 3 3 5 2" xfId="14122"/>
    <cellStyle name="표준 2 3 4 2 3 3 6" xfId="12662"/>
    <cellStyle name="표준 2 3 4 2 3 4" xfId="8779"/>
    <cellStyle name="표준 2 3 4 2 3 4 2" xfId="20027"/>
    <cellStyle name="표준 2 3 4 2 3 5" xfId="6341"/>
    <cellStyle name="표준 2 3 4 2 3 5 2" xfId="17589"/>
    <cellStyle name="표준 2 3 4 2 3 6" xfId="10952"/>
    <cellStyle name="표준 2 3 4 2 3 6 2" xfId="22199"/>
    <cellStyle name="표준 2 3 4 2 3 7" xfId="3900"/>
    <cellStyle name="표준 2 3 4 2 3 7 2" xfId="15151"/>
    <cellStyle name="표준 2 3 4 2 3 8" xfId="1908"/>
    <cellStyle name="표준 2 3 4 2 3 8 2" xfId="13335"/>
    <cellStyle name="표준 2 3 4 2 3 9" xfId="11875"/>
    <cellStyle name="표준 2 3 4 2 4" xfId="410"/>
    <cellStyle name="표준 2 3 4 2 4 2" xfId="1508"/>
    <cellStyle name="표준 2 3 4 2 4 2 2" xfId="9995"/>
    <cellStyle name="표준 2 3 4 2 4 2 2 2" xfId="21243"/>
    <cellStyle name="표준 2 3 4 2 4 2 3" xfId="7557"/>
    <cellStyle name="표준 2 3 4 2 4 2 3 2" xfId="18805"/>
    <cellStyle name="표준 2 3 4 2 4 2 4" xfId="5118"/>
    <cellStyle name="표준 2 3 4 2 4 2 4 2" xfId="16367"/>
    <cellStyle name="표준 2 3 4 2 4 2 5" xfId="3120"/>
    <cellStyle name="표준 2 3 4 2 4 2 5 2" xfId="14398"/>
    <cellStyle name="표준 2 3 4 2 4 2 6" xfId="12938"/>
    <cellStyle name="표준 2 3 4 2 4 3" xfId="1113"/>
    <cellStyle name="표준 2 3 4 2 4 3 2" xfId="9005"/>
    <cellStyle name="표준 2 3 4 2 4 3 2 2" xfId="20253"/>
    <cellStyle name="표준 2 3 4 2 4 3 3" xfId="2734"/>
    <cellStyle name="표준 2 3 4 2 4 3 3 2" xfId="14012"/>
    <cellStyle name="표준 2 3 4 2 4 3 4" xfId="12552"/>
    <cellStyle name="표준 2 3 4 2 4 4" xfId="6567"/>
    <cellStyle name="표준 2 3 4 2 4 4 2" xfId="17815"/>
    <cellStyle name="표준 2 3 4 2 4 5" xfId="4126"/>
    <cellStyle name="표준 2 3 4 2 4 5 2" xfId="15377"/>
    <cellStyle name="표준 2 3 4 2 4 6" xfId="2082"/>
    <cellStyle name="표준 2 3 4 2 4 6 2" xfId="13509"/>
    <cellStyle name="표준 2 3 4 2 4 7" xfId="12049"/>
    <cellStyle name="표준 2 3 4 2 5" xfId="357"/>
    <cellStyle name="표준 2 3 4 2 5 2" xfId="1723"/>
    <cellStyle name="표준 2 3 4 2 5 2 2" xfId="10402"/>
    <cellStyle name="표준 2 3 4 2 5 2 2 2" xfId="21650"/>
    <cellStyle name="표준 2 3 4 2 5 2 3" xfId="7964"/>
    <cellStyle name="표준 2 3 4 2 5 2 3 2" xfId="19212"/>
    <cellStyle name="표준 2 3 4 2 5 2 4" xfId="5525"/>
    <cellStyle name="표준 2 3 4 2 5 2 4 2" xfId="16774"/>
    <cellStyle name="표준 2 3 4 2 5 2 5" xfId="3335"/>
    <cellStyle name="표준 2 3 4 2 5 2 5 2" xfId="14613"/>
    <cellStyle name="표준 2 3 4 2 5 2 6" xfId="13153"/>
    <cellStyle name="표준 2 3 4 2 5 3" xfId="1341"/>
    <cellStyle name="표준 2 3 4 2 5 3 2" xfId="9412"/>
    <cellStyle name="표준 2 3 4 2 5 3 2 2" xfId="20660"/>
    <cellStyle name="표준 2 3 4 2 5 3 3" xfId="2962"/>
    <cellStyle name="표준 2 3 4 2 5 3 3 2" xfId="14240"/>
    <cellStyle name="표준 2 3 4 2 5 3 4" xfId="12780"/>
    <cellStyle name="표준 2 3 4 2 5 4" xfId="6974"/>
    <cellStyle name="표준 2 3 4 2 5 4 2" xfId="18222"/>
    <cellStyle name="표준 2 3 4 2 5 5" xfId="4535"/>
    <cellStyle name="표준 2 3 4 2 5 5 2" xfId="15784"/>
    <cellStyle name="표준 2 3 4 2 5 6" xfId="2029"/>
    <cellStyle name="표준 2 3 4 2 5 6 2" xfId="13456"/>
    <cellStyle name="표준 2 3 4 2 5 7" xfId="11996"/>
    <cellStyle name="표준 2 3 4 2 6" xfId="700"/>
    <cellStyle name="표준 2 3 4 2 6 2" xfId="1431"/>
    <cellStyle name="표준 2 3 4 2 6 2 2" xfId="9543"/>
    <cellStyle name="표준 2 3 4 2 6 2 2 2" xfId="20791"/>
    <cellStyle name="표준 2 3 4 2 6 2 3" xfId="3045"/>
    <cellStyle name="표준 2 3 4 2 6 2 3 2" xfId="14323"/>
    <cellStyle name="표준 2 3 4 2 6 2 4" xfId="12863"/>
    <cellStyle name="표준 2 3 4 2 6 3" xfId="7105"/>
    <cellStyle name="표준 2 3 4 2 6 3 2" xfId="18353"/>
    <cellStyle name="표준 2 3 4 2 6 4" xfId="4666"/>
    <cellStyle name="표준 2 3 4 2 6 4 2" xfId="15915"/>
    <cellStyle name="표준 2 3 4 2 6 5" xfId="2332"/>
    <cellStyle name="표준 2 3 4 2 6 5 2" xfId="13745"/>
    <cellStyle name="표준 2 3 4 2 6 6" xfId="12285"/>
    <cellStyle name="표준 2 3 4 2 7" xfId="1060"/>
    <cellStyle name="표준 2 3 4 2 7 2" xfId="10486"/>
    <cellStyle name="표준 2 3 4 2 7 2 2" xfId="21734"/>
    <cellStyle name="표준 2 3 4 2 7 3" xfId="8048"/>
    <cellStyle name="표준 2 3 4 2 7 3 2" xfId="19296"/>
    <cellStyle name="표준 2 3 4 2 7 4" xfId="5609"/>
    <cellStyle name="표준 2 3 4 2 7 4 2" xfId="16858"/>
    <cellStyle name="표준 2 3 4 2 7 5" xfId="2681"/>
    <cellStyle name="표준 2 3 4 2 7 5 2" xfId="13959"/>
    <cellStyle name="표준 2 3 4 2 7 6" xfId="12499"/>
    <cellStyle name="표준 2 3 4 2 8" xfId="996"/>
    <cellStyle name="표준 2 3 4 2 8 2" xfId="10592"/>
    <cellStyle name="표준 2 3 4 2 8 2 2" xfId="21840"/>
    <cellStyle name="표준 2 3 4 2 8 3" xfId="8154"/>
    <cellStyle name="표준 2 3 4 2 8 3 2" xfId="19402"/>
    <cellStyle name="표준 2 3 4 2 8 4" xfId="5715"/>
    <cellStyle name="표준 2 3 4 2 8 4 2" xfId="16964"/>
    <cellStyle name="표준 2 3 4 2 8 5" xfId="2617"/>
    <cellStyle name="표준 2 3 4 2 8 5 2" xfId="13895"/>
    <cellStyle name="표준 2 3 4 2 8 6" xfId="12435"/>
    <cellStyle name="표준 2 3 4 2 9" xfId="5798"/>
    <cellStyle name="표준 2 3 4 2 9 2" xfId="10675"/>
    <cellStyle name="표준 2 3 4 2 9 2 2" xfId="21923"/>
    <cellStyle name="표준 2 3 4 2 9 3" xfId="8237"/>
    <cellStyle name="표준 2 3 4 2 9 3 2" xfId="19485"/>
    <cellStyle name="표준 2 3 4 2 9 4" xfId="17047"/>
    <cellStyle name="표준 2 3 4 3" xfId="109"/>
    <cellStyle name="표준 2 3 4 3 10" xfId="1825"/>
    <cellStyle name="표준 2 3 4 3 10 2" xfId="13254"/>
    <cellStyle name="표준 2 3 4 3 11" xfId="11794"/>
    <cellStyle name="표준 2 3 4 3 2" xfId="265"/>
    <cellStyle name="표준 2 3 4 3 2 2" xfId="549"/>
    <cellStyle name="표준 2 3 4 3 2 2 2" xfId="1637"/>
    <cellStyle name="표준 2 3 4 3 2 2 2 2" xfId="10221"/>
    <cellStyle name="표준 2 3 4 3 2 2 2 2 2" xfId="21469"/>
    <cellStyle name="표준 2 3 4 3 2 2 2 3" xfId="7783"/>
    <cellStyle name="표준 2 3 4 3 2 2 2 3 2" xfId="19031"/>
    <cellStyle name="표준 2 3 4 3 2 2 2 4" xfId="5344"/>
    <cellStyle name="표준 2 3 4 3 2 2 2 4 2" xfId="16593"/>
    <cellStyle name="표준 2 3 4 3 2 2 2 5" xfId="3249"/>
    <cellStyle name="표준 2 3 4 3 2 2 2 5 2" xfId="14527"/>
    <cellStyle name="표준 2 3 4 3 2 2 2 6" xfId="13067"/>
    <cellStyle name="표준 2 3 4 3 2 2 3" xfId="9231"/>
    <cellStyle name="표준 2 3 4 3 2 2 3 2" xfId="20479"/>
    <cellStyle name="표준 2 3 4 3 2 2 4" xfId="6793"/>
    <cellStyle name="표준 2 3 4 3 2 2 4 2" xfId="18041"/>
    <cellStyle name="표준 2 3 4 3 2 2 5" xfId="4352"/>
    <cellStyle name="표준 2 3 4 3 2 2 5 2" xfId="15603"/>
    <cellStyle name="표준 2 3 4 3 2 2 6" xfId="2221"/>
    <cellStyle name="표준 2 3 4 3 2 2 6 2" xfId="13648"/>
    <cellStyle name="표준 2 3 4 3 2 2 7" xfId="12188"/>
    <cellStyle name="표준 2 3 4 3 2 3" xfId="1252"/>
    <cellStyle name="표준 2 3 4 3 2 3 2" xfId="9768"/>
    <cellStyle name="표준 2 3 4 3 2 3 2 2" xfId="21016"/>
    <cellStyle name="표준 2 3 4 3 2 3 3" xfId="7330"/>
    <cellStyle name="표준 2 3 4 3 2 3 3 2" xfId="18578"/>
    <cellStyle name="표준 2 3 4 3 2 3 4" xfId="4891"/>
    <cellStyle name="표준 2 3 4 3 2 3 4 2" xfId="16140"/>
    <cellStyle name="표준 2 3 4 3 2 3 5" xfId="2873"/>
    <cellStyle name="표준 2 3 4 3 2 3 5 2" xfId="14151"/>
    <cellStyle name="표준 2 3 4 3 2 3 6" xfId="12691"/>
    <cellStyle name="표준 2 3 4 3 2 4" xfId="8778"/>
    <cellStyle name="표준 2 3 4 3 2 4 2" xfId="20026"/>
    <cellStyle name="표준 2 3 4 3 2 5" xfId="6340"/>
    <cellStyle name="표준 2 3 4 3 2 5 2" xfId="17588"/>
    <cellStyle name="표준 2 3 4 3 2 6" xfId="11034"/>
    <cellStyle name="표준 2 3 4 3 2 6 2" xfId="22281"/>
    <cellStyle name="표준 2 3 4 3 2 7" xfId="3899"/>
    <cellStyle name="표준 2 3 4 3 2 7 2" xfId="15150"/>
    <cellStyle name="표준 2 3 4 3 2 8" xfId="1937"/>
    <cellStyle name="표준 2 3 4 3 2 8 2" xfId="13364"/>
    <cellStyle name="표준 2 3 4 3 2 9" xfId="11904"/>
    <cellStyle name="표준 2 3 4 3 3" xfId="439"/>
    <cellStyle name="표준 2 3 4 3 3 2" xfId="1532"/>
    <cellStyle name="표준 2 3 4 3 3 2 2" xfId="9994"/>
    <cellStyle name="표준 2 3 4 3 3 2 2 2" xfId="21242"/>
    <cellStyle name="표준 2 3 4 3 3 2 3" xfId="7556"/>
    <cellStyle name="표준 2 3 4 3 3 2 3 2" xfId="18804"/>
    <cellStyle name="표준 2 3 4 3 3 2 4" xfId="5117"/>
    <cellStyle name="표준 2 3 4 3 3 2 4 2" xfId="16366"/>
    <cellStyle name="표준 2 3 4 3 3 2 5" xfId="3144"/>
    <cellStyle name="표준 2 3 4 3 3 2 5 2" xfId="14422"/>
    <cellStyle name="표준 2 3 4 3 3 2 6" xfId="12962"/>
    <cellStyle name="표준 2 3 4 3 3 3" xfId="9004"/>
    <cellStyle name="표준 2 3 4 3 3 3 2" xfId="20252"/>
    <cellStyle name="표준 2 3 4 3 3 4" xfId="6566"/>
    <cellStyle name="표준 2 3 4 3 3 4 2" xfId="17814"/>
    <cellStyle name="표준 2 3 4 3 3 5" xfId="4125"/>
    <cellStyle name="표준 2 3 4 3 3 5 2" xfId="15376"/>
    <cellStyle name="표준 2 3 4 3 3 6" xfId="2111"/>
    <cellStyle name="표준 2 3 4 3 3 6 2" xfId="13538"/>
    <cellStyle name="표준 2 3 4 3 3 7" xfId="12078"/>
    <cellStyle name="표준 2 3 4 3 4" xfId="777"/>
    <cellStyle name="표준 2 3 4 3 4 2" xfId="9542"/>
    <cellStyle name="표준 2 3 4 3 4 2 2" xfId="20790"/>
    <cellStyle name="표준 2 3 4 3 4 3" xfId="7104"/>
    <cellStyle name="표준 2 3 4 3 4 3 2" xfId="18352"/>
    <cellStyle name="표준 2 3 4 3 4 4" xfId="4665"/>
    <cellStyle name="표준 2 3 4 3 4 4 2" xfId="15914"/>
    <cellStyle name="표준 2 3 4 3 4 5" xfId="2404"/>
    <cellStyle name="표준 2 3 4 3 4 5 2" xfId="13799"/>
    <cellStyle name="표준 2 3 4 3 4 6" xfId="12339"/>
    <cellStyle name="표준 2 3 4 3 5" xfId="1142"/>
    <cellStyle name="표준 2 3 4 3 5 2" xfId="8574"/>
    <cellStyle name="표준 2 3 4 3 5 2 2" xfId="19822"/>
    <cellStyle name="표준 2 3 4 3 5 3" xfId="6136"/>
    <cellStyle name="표준 2 3 4 3 5 3 2" xfId="17384"/>
    <cellStyle name="표준 2 3 4 3 5 4" xfId="3695"/>
    <cellStyle name="표준 2 3 4 3 5 4 2" xfId="14946"/>
    <cellStyle name="표준 2 3 4 3 5 5" xfId="2763"/>
    <cellStyle name="표준 2 3 4 3 5 5 2" xfId="14041"/>
    <cellStyle name="표준 2 3 4 3 5 6" xfId="12581"/>
    <cellStyle name="표준 2 3 4 3 6" xfId="8403"/>
    <cellStyle name="표준 2 3 4 3 6 2" xfId="19651"/>
    <cellStyle name="표준 2 3 4 3 7" xfId="5965"/>
    <cellStyle name="표준 2 3 4 3 7 2" xfId="17213"/>
    <cellStyle name="표준 2 3 4 3 8" xfId="10849"/>
    <cellStyle name="표준 2 3 4 3 8 2" xfId="22097"/>
    <cellStyle name="표준 2 3 4 3 9" xfId="3503"/>
    <cellStyle name="표준 2 3 4 3 9 2" xfId="14775"/>
    <cellStyle name="표준 2 3 4 4" xfId="217"/>
    <cellStyle name="표준 2 3 4 4 10" xfId="11856"/>
    <cellStyle name="표준 2 3 4 4 2" xfId="501"/>
    <cellStyle name="표준 2 3 4 4 2 2" xfId="1589"/>
    <cellStyle name="표준 2 3 4 4 2 2 2" xfId="5430"/>
    <cellStyle name="표준 2 3 4 4 2 2 2 2" xfId="10307"/>
    <cellStyle name="표준 2 3 4 4 2 2 2 2 2" xfId="21555"/>
    <cellStyle name="표준 2 3 4 4 2 2 2 3" xfId="7869"/>
    <cellStyle name="표준 2 3 4 4 2 2 2 3 2" xfId="19117"/>
    <cellStyle name="표준 2 3 4 4 2 2 2 4" xfId="16679"/>
    <cellStyle name="표준 2 3 4 4 2 2 3" xfId="9317"/>
    <cellStyle name="표준 2 3 4 4 2 2 3 2" xfId="20565"/>
    <cellStyle name="표준 2 3 4 4 2 2 4" xfId="6879"/>
    <cellStyle name="표준 2 3 4 4 2 2 4 2" xfId="18127"/>
    <cellStyle name="표준 2 3 4 4 2 2 5" xfId="4438"/>
    <cellStyle name="표준 2 3 4 4 2 2 5 2" xfId="15689"/>
    <cellStyle name="표준 2 3 4 4 2 2 6" xfId="3201"/>
    <cellStyle name="표준 2 3 4 4 2 2 6 2" xfId="14479"/>
    <cellStyle name="표준 2 3 4 4 2 2 7" xfId="13019"/>
    <cellStyle name="표준 2 3 4 4 2 3" xfId="4977"/>
    <cellStyle name="표준 2 3 4 4 2 3 2" xfId="9854"/>
    <cellStyle name="표준 2 3 4 4 2 3 2 2" xfId="21102"/>
    <cellStyle name="표준 2 3 4 4 2 3 3" xfId="7416"/>
    <cellStyle name="표준 2 3 4 4 2 3 3 2" xfId="18664"/>
    <cellStyle name="표준 2 3 4 4 2 3 4" xfId="16226"/>
    <cellStyle name="표준 2 3 4 4 2 4" xfId="8864"/>
    <cellStyle name="표준 2 3 4 4 2 4 2" xfId="20112"/>
    <cellStyle name="표준 2 3 4 4 2 5" xfId="6426"/>
    <cellStyle name="표준 2 3 4 4 2 5 2" xfId="17674"/>
    <cellStyle name="표준 2 3 4 4 2 6" xfId="3985"/>
    <cellStyle name="표준 2 3 4 4 2 6 2" xfId="15236"/>
    <cellStyle name="표준 2 3 4 4 2 7" xfId="2173"/>
    <cellStyle name="표준 2 3 4 4 2 7 2" xfId="13600"/>
    <cellStyle name="표준 2 3 4 4 2 8" xfId="12140"/>
    <cellStyle name="표준 2 3 4 4 3" xfId="1204"/>
    <cellStyle name="표준 2 3 4 4 3 2" xfId="5203"/>
    <cellStyle name="표준 2 3 4 4 3 2 2" xfId="10080"/>
    <cellStyle name="표준 2 3 4 4 3 2 2 2" xfId="21328"/>
    <cellStyle name="표준 2 3 4 4 3 2 3" xfId="7642"/>
    <cellStyle name="표준 2 3 4 4 3 2 3 2" xfId="18890"/>
    <cellStyle name="표준 2 3 4 4 3 2 4" xfId="16452"/>
    <cellStyle name="표준 2 3 4 4 3 3" xfId="9090"/>
    <cellStyle name="표준 2 3 4 4 3 3 2" xfId="20338"/>
    <cellStyle name="표준 2 3 4 4 3 4" xfId="6652"/>
    <cellStyle name="표준 2 3 4 4 3 4 2" xfId="17900"/>
    <cellStyle name="표준 2 3 4 4 3 5" xfId="4211"/>
    <cellStyle name="표준 2 3 4 4 3 5 2" xfId="15462"/>
    <cellStyle name="표준 2 3 4 4 3 6" xfId="2825"/>
    <cellStyle name="표준 2 3 4 4 3 6 2" xfId="14103"/>
    <cellStyle name="표준 2 3 4 4 3 7" xfId="12643"/>
    <cellStyle name="표준 2 3 4 4 4" xfId="4751"/>
    <cellStyle name="표준 2 3 4 4 4 2" xfId="9628"/>
    <cellStyle name="표준 2 3 4 4 4 2 2" xfId="20876"/>
    <cellStyle name="표준 2 3 4 4 4 3" xfId="7190"/>
    <cellStyle name="표준 2 3 4 4 4 3 2" xfId="18438"/>
    <cellStyle name="표준 2 3 4 4 4 4" xfId="16000"/>
    <cellStyle name="표준 2 3 4 4 5" xfId="8638"/>
    <cellStyle name="표준 2 3 4 4 5 2" xfId="19886"/>
    <cellStyle name="표준 2 3 4 4 6" xfId="6200"/>
    <cellStyle name="표준 2 3 4 4 6 2" xfId="17448"/>
    <cellStyle name="표준 2 3 4 4 7" xfId="10951"/>
    <cellStyle name="표준 2 3 4 4 7 2" xfId="22198"/>
    <cellStyle name="표준 2 3 4 4 8" xfId="3759"/>
    <cellStyle name="표준 2 3 4 4 8 2" xfId="15010"/>
    <cellStyle name="표준 2 3 4 4 9" xfId="1889"/>
    <cellStyle name="표준 2 3 4 4 9 2" xfId="13316"/>
    <cellStyle name="표준 2 3 4 5" xfId="391"/>
    <cellStyle name="표준 2 3 4 5 2" xfId="1489"/>
    <cellStyle name="표준 2 3 4 5 2 2" xfId="10401"/>
    <cellStyle name="표준 2 3 4 5 2 2 2" xfId="21649"/>
    <cellStyle name="표준 2 3 4 5 2 3" xfId="7963"/>
    <cellStyle name="표준 2 3 4 5 2 3 2" xfId="19211"/>
    <cellStyle name="표준 2 3 4 5 2 4" xfId="5524"/>
    <cellStyle name="표준 2 3 4 5 2 4 2" xfId="16773"/>
    <cellStyle name="표준 2 3 4 5 2 5" xfId="3101"/>
    <cellStyle name="표준 2 3 4 5 2 5 2" xfId="14379"/>
    <cellStyle name="표준 2 3 4 5 2 6" xfId="12919"/>
    <cellStyle name="표준 2 3 4 5 3" xfId="1094"/>
    <cellStyle name="표준 2 3 4 5 3 2" xfId="9411"/>
    <cellStyle name="표준 2 3 4 5 3 2 2" xfId="20659"/>
    <cellStyle name="표준 2 3 4 5 3 3" xfId="2715"/>
    <cellStyle name="표준 2 3 4 5 3 3 2" xfId="13993"/>
    <cellStyle name="표준 2 3 4 5 3 4" xfId="12533"/>
    <cellStyle name="표준 2 3 4 5 4" xfId="6973"/>
    <cellStyle name="표준 2 3 4 5 4 2" xfId="18221"/>
    <cellStyle name="표준 2 3 4 5 5" xfId="4534"/>
    <cellStyle name="표준 2 3 4 5 5 2" xfId="15783"/>
    <cellStyle name="표준 2 3 4 5 6" xfId="2063"/>
    <cellStyle name="표준 2 3 4 5 6 2" xfId="13490"/>
    <cellStyle name="표준 2 3 4 5 7" xfId="12030"/>
    <cellStyle name="표준 2 3 4 6" xfId="329"/>
    <cellStyle name="표준 2 3 4 6 2" xfId="1722"/>
    <cellStyle name="표준 2 3 4 6 2 2" xfId="10485"/>
    <cellStyle name="표준 2 3 4 6 2 2 2" xfId="21733"/>
    <cellStyle name="표준 2 3 4 6 2 3" xfId="3334"/>
    <cellStyle name="표준 2 3 4 6 2 3 2" xfId="14612"/>
    <cellStyle name="표준 2 3 4 6 2 4" xfId="13152"/>
    <cellStyle name="표준 2 3 4 6 3" xfId="1340"/>
    <cellStyle name="표준 2 3 4 6 3 2" xfId="8047"/>
    <cellStyle name="표준 2 3 4 6 3 2 2" xfId="19295"/>
    <cellStyle name="표준 2 3 4 6 3 3" xfId="2961"/>
    <cellStyle name="표준 2 3 4 6 3 3 2" xfId="14239"/>
    <cellStyle name="표준 2 3 4 6 3 4" xfId="12779"/>
    <cellStyle name="표준 2 3 4 6 4" xfId="5608"/>
    <cellStyle name="표준 2 3 4 6 4 2" xfId="16857"/>
    <cellStyle name="표준 2 3 4 6 5" xfId="2001"/>
    <cellStyle name="표준 2 3 4 6 5 2" xfId="13428"/>
    <cellStyle name="표준 2 3 4 6 6" xfId="11968"/>
    <cellStyle name="표준 2 3 4 7" xfId="622"/>
    <cellStyle name="표준 2 3 4 7 2" xfId="1430"/>
    <cellStyle name="표준 2 3 4 7 2 2" xfId="10591"/>
    <cellStyle name="표준 2 3 4 7 2 2 2" xfId="21839"/>
    <cellStyle name="표준 2 3 4 7 2 3" xfId="3044"/>
    <cellStyle name="표준 2 3 4 7 2 3 2" xfId="14322"/>
    <cellStyle name="표준 2 3 4 7 2 4" xfId="12862"/>
    <cellStyle name="표준 2 3 4 7 3" xfId="8153"/>
    <cellStyle name="표준 2 3 4 7 3 2" xfId="19401"/>
    <cellStyle name="표준 2 3 4 7 4" xfId="5714"/>
    <cellStyle name="표준 2 3 4 7 4 2" xfId="16963"/>
    <cellStyle name="표준 2 3 4 7 5" xfId="2294"/>
    <cellStyle name="표준 2 3 4 7 5 2" xfId="13713"/>
    <cellStyle name="표준 2 3 4 7 6" xfId="12253"/>
    <cellStyle name="표준 2 3 4 8" xfId="1032"/>
    <cellStyle name="표준 2 3 4 8 2" xfId="5797"/>
    <cellStyle name="표준 2 3 4 8 2 2" xfId="10674"/>
    <cellStyle name="표준 2 3 4 8 2 2 2" xfId="21922"/>
    <cellStyle name="표준 2 3 4 8 2 3" xfId="8236"/>
    <cellStyle name="표준 2 3 4 8 2 3 2" xfId="19484"/>
    <cellStyle name="표준 2 3 4 8 2 4" xfId="17046"/>
    <cellStyle name="표준 2 3 4 8 3" xfId="3666"/>
    <cellStyle name="표준 2 3 4 8 4" xfId="2653"/>
    <cellStyle name="표준 2 3 4 8 4 2" xfId="13931"/>
    <cellStyle name="표준 2 3 4 8 5" xfId="12471"/>
    <cellStyle name="표준 2 3 4 9" xfId="968"/>
    <cellStyle name="표준 2 3 4 9 2" xfId="8499"/>
    <cellStyle name="표준 2 3 4 9 2 2" xfId="19747"/>
    <cellStyle name="표준 2 3 4 9 3" xfId="6061"/>
    <cellStyle name="표준 2 3 4 9 3 2" xfId="17309"/>
    <cellStyle name="표준 2 3 4 9 4" xfId="3600"/>
    <cellStyle name="표준 2 3 4 9 4 2" xfId="14871"/>
    <cellStyle name="표준 2 3 4 9 5" xfId="2590"/>
    <cellStyle name="표준 2 3 4 9 5 2" xfId="13868"/>
    <cellStyle name="표준 2 3 4 9 6" xfId="12408"/>
    <cellStyle name="표준 2 3 5" xfId="68"/>
    <cellStyle name="표준 2 3 5 10" xfId="5716"/>
    <cellStyle name="표준 2 3 5 10 2" xfId="10593"/>
    <cellStyle name="표준 2 3 5 10 2 2" xfId="21841"/>
    <cellStyle name="표준 2 3 5 10 3" xfId="8155"/>
    <cellStyle name="표준 2 3 5 10 3 2" xfId="19403"/>
    <cellStyle name="표준 2 3 5 10 4" xfId="16965"/>
    <cellStyle name="표준 2 3 5 11" xfId="5799"/>
    <cellStyle name="표준 2 3 5 11 2" xfId="10676"/>
    <cellStyle name="표준 2 3 5 11 2 2" xfId="21924"/>
    <cellStyle name="표준 2 3 5 11 3" xfId="8238"/>
    <cellStyle name="표준 2 3 5 11 3 2" xfId="19486"/>
    <cellStyle name="표준 2 3 5 11 4" xfId="17048"/>
    <cellStyle name="표준 2 3 5 12" xfId="3602"/>
    <cellStyle name="표준 2 3 5 12 2" xfId="8501"/>
    <cellStyle name="표준 2 3 5 12 2 2" xfId="19749"/>
    <cellStyle name="표준 2 3 5 12 3" xfId="6063"/>
    <cellStyle name="표준 2 3 5 12 3 2" xfId="17311"/>
    <cellStyle name="표준 2 3 5 12 4" xfId="14873"/>
    <cellStyle name="표준 2 3 5 13" xfId="8322"/>
    <cellStyle name="표준 2 3 5 13 2" xfId="19570"/>
    <cellStyle name="표준 2 3 5 14" xfId="5884"/>
    <cellStyle name="표준 2 3 5 14 2" xfId="17132"/>
    <cellStyle name="표준 2 3 5 15" xfId="10768"/>
    <cellStyle name="표준 2 3 5 15 2" xfId="22016"/>
    <cellStyle name="표준 2 3 5 16" xfId="3416"/>
    <cellStyle name="표준 2 3 5 16 2" xfId="14694"/>
    <cellStyle name="표준 2 3 5 17" xfId="1784"/>
    <cellStyle name="표준 2 3 5 17 2" xfId="13213"/>
    <cellStyle name="표준 2 3 5 18" xfId="11753"/>
    <cellStyle name="표준 2 3 5 2" xfId="189"/>
    <cellStyle name="표준 2 3 5 2 10" xfId="3603"/>
    <cellStyle name="표준 2 3 5 2 10 2" xfId="8502"/>
    <cellStyle name="표준 2 3 5 2 10 2 2" xfId="19750"/>
    <cellStyle name="표준 2 3 5 2 10 3" xfId="6064"/>
    <cellStyle name="표준 2 3 5 2 10 3 2" xfId="17312"/>
    <cellStyle name="표준 2 3 5 2 10 4" xfId="14874"/>
    <cellStyle name="표준 2 3 5 2 11" xfId="8323"/>
    <cellStyle name="표준 2 3 5 2 11 2" xfId="19571"/>
    <cellStyle name="표준 2 3 5 2 12" xfId="5885"/>
    <cellStyle name="표준 2 3 5 2 12 2" xfId="17133"/>
    <cellStyle name="표준 2 3 5 2 13" xfId="10769"/>
    <cellStyle name="표준 2 3 5 2 13 2" xfId="22017"/>
    <cellStyle name="표준 2 3 5 2 14" xfId="3417"/>
    <cellStyle name="표준 2 3 5 2 14 2" xfId="14695"/>
    <cellStyle name="표준 2 3 5 2 15" xfId="1862"/>
    <cellStyle name="표준 2 3 5 2 15 2" xfId="13289"/>
    <cellStyle name="표준 2 3 5 2 16" xfId="11829"/>
    <cellStyle name="표준 2 3 5 2 2" xfId="300"/>
    <cellStyle name="표준 2 3 5 2 2 10" xfId="1972"/>
    <cellStyle name="표준 2 3 5 2 2 10 2" xfId="13399"/>
    <cellStyle name="표준 2 3 5 2 2 11" xfId="11939"/>
    <cellStyle name="표준 2 3 5 2 2 2" xfId="584"/>
    <cellStyle name="표준 2 3 5 2 2 2 2" xfId="1672"/>
    <cellStyle name="표준 2 3 5 2 2 2 2 2" xfId="5433"/>
    <cellStyle name="표준 2 3 5 2 2 2 2 2 2" xfId="10310"/>
    <cellStyle name="표준 2 3 5 2 2 2 2 2 2 2" xfId="21558"/>
    <cellStyle name="표준 2 3 5 2 2 2 2 2 3" xfId="7872"/>
    <cellStyle name="표준 2 3 5 2 2 2 2 2 3 2" xfId="19120"/>
    <cellStyle name="표준 2 3 5 2 2 2 2 2 4" xfId="16682"/>
    <cellStyle name="표준 2 3 5 2 2 2 2 3" xfId="9320"/>
    <cellStyle name="표준 2 3 5 2 2 2 2 3 2" xfId="20568"/>
    <cellStyle name="표준 2 3 5 2 2 2 2 4" xfId="6882"/>
    <cellStyle name="표준 2 3 5 2 2 2 2 4 2" xfId="18130"/>
    <cellStyle name="표준 2 3 5 2 2 2 2 5" xfId="4441"/>
    <cellStyle name="표준 2 3 5 2 2 2 2 5 2" xfId="15692"/>
    <cellStyle name="표준 2 3 5 2 2 2 2 6" xfId="3284"/>
    <cellStyle name="표준 2 3 5 2 2 2 2 6 2" xfId="14562"/>
    <cellStyle name="표준 2 3 5 2 2 2 2 7" xfId="13102"/>
    <cellStyle name="표준 2 3 5 2 2 2 3" xfId="4980"/>
    <cellStyle name="표준 2 3 5 2 2 2 3 2" xfId="9857"/>
    <cellStyle name="표준 2 3 5 2 2 2 3 2 2" xfId="21105"/>
    <cellStyle name="표준 2 3 5 2 2 2 3 3" xfId="7419"/>
    <cellStyle name="표준 2 3 5 2 2 2 3 3 2" xfId="18667"/>
    <cellStyle name="표준 2 3 5 2 2 2 3 4" xfId="16229"/>
    <cellStyle name="표준 2 3 5 2 2 2 4" xfId="8867"/>
    <cellStyle name="표준 2 3 5 2 2 2 4 2" xfId="20115"/>
    <cellStyle name="표준 2 3 5 2 2 2 5" xfId="6429"/>
    <cellStyle name="표준 2 3 5 2 2 2 5 2" xfId="17677"/>
    <cellStyle name="표준 2 3 5 2 2 2 6" xfId="11037"/>
    <cellStyle name="표준 2 3 5 2 2 2 6 2" xfId="22284"/>
    <cellStyle name="표준 2 3 5 2 2 2 7" xfId="3988"/>
    <cellStyle name="표준 2 3 5 2 2 2 7 2" xfId="15239"/>
    <cellStyle name="표준 2 3 5 2 2 2 8" xfId="2256"/>
    <cellStyle name="표준 2 3 5 2 2 2 8 2" xfId="13683"/>
    <cellStyle name="표준 2 3 5 2 2 2 9" xfId="12223"/>
    <cellStyle name="표준 2 3 5 2 2 3" xfId="780"/>
    <cellStyle name="표준 2 3 5 2 2 3 2" xfId="5206"/>
    <cellStyle name="표준 2 3 5 2 2 3 2 2" xfId="10083"/>
    <cellStyle name="표준 2 3 5 2 2 3 2 2 2" xfId="21331"/>
    <cellStyle name="표준 2 3 5 2 2 3 2 3" xfId="7645"/>
    <cellStyle name="표준 2 3 5 2 2 3 2 3 2" xfId="18893"/>
    <cellStyle name="표준 2 3 5 2 2 3 2 4" xfId="16455"/>
    <cellStyle name="표준 2 3 5 2 2 3 3" xfId="9093"/>
    <cellStyle name="표준 2 3 5 2 2 3 3 2" xfId="20341"/>
    <cellStyle name="표준 2 3 5 2 2 3 4" xfId="6655"/>
    <cellStyle name="표준 2 3 5 2 2 3 4 2" xfId="17903"/>
    <cellStyle name="표준 2 3 5 2 2 3 5" xfId="4214"/>
    <cellStyle name="표준 2 3 5 2 2 3 5 2" xfId="15465"/>
    <cellStyle name="표준 2 3 5 2 2 3 6" xfId="2407"/>
    <cellStyle name="표준 2 3 5 2 2 3 6 2" xfId="13802"/>
    <cellStyle name="표준 2 3 5 2 2 3 7" xfId="12342"/>
    <cellStyle name="표준 2 3 5 2 2 4" xfId="1287"/>
    <cellStyle name="표준 2 3 5 2 2 4 2" xfId="9631"/>
    <cellStyle name="표준 2 3 5 2 2 4 2 2" xfId="20879"/>
    <cellStyle name="표준 2 3 5 2 2 4 3" xfId="7193"/>
    <cellStyle name="표준 2 3 5 2 2 4 3 2" xfId="18441"/>
    <cellStyle name="표준 2 3 5 2 2 4 4" xfId="4754"/>
    <cellStyle name="표준 2 3 5 2 2 4 4 2" xfId="16003"/>
    <cellStyle name="표준 2 3 5 2 2 4 5" xfId="2908"/>
    <cellStyle name="표준 2 3 5 2 2 4 5 2" xfId="14186"/>
    <cellStyle name="표준 2 3 5 2 2 4 6" xfId="12726"/>
    <cellStyle name="표준 2 3 5 2 2 5" xfId="3762"/>
    <cellStyle name="표준 2 3 5 2 2 5 2" xfId="8641"/>
    <cellStyle name="표준 2 3 5 2 2 5 2 2" xfId="19889"/>
    <cellStyle name="표준 2 3 5 2 2 5 3" xfId="6203"/>
    <cellStyle name="표준 2 3 5 2 2 5 3 2" xfId="17451"/>
    <cellStyle name="표준 2 3 5 2 2 5 4" xfId="15013"/>
    <cellStyle name="표준 2 3 5 2 2 6" xfId="8406"/>
    <cellStyle name="표준 2 3 5 2 2 6 2" xfId="19654"/>
    <cellStyle name="표준 2 3 5 2 2 7" xfId="5968"/>
    <cellStyle name="표준 2 3 5 2 2 7 2" xfId="17216"/>
    <cellStyle name="표준 2 3 5 2 2 8" xfId="10852"/>
    <cellStyle name="표준 2 3 5 2 2 8 2" xfId="22100"/>
    <cellStyle name="표준 2 3 5 2 2 9" xfId="3506"/>
    <cellStyle name="표준 2 3 5 2 2 9 2" xfId="14778"/>
    <cellStyle name="표준 2 3 5 2 3" xfId="474"/>
    <cellStyle name="표준 2 3 5 2 3 2" xfId="1567"/>
    <cellStyle name="표준 2 3 5 2 3 2 2" xfId="5347"/>
    <cellStyle name="표준 2 3 5 2 3 2 2 2" xfId="10224"/>
    <cellStyle name="표준 2 3 5 2 3 2 2 2 2" xfId="21472"/>
    <cellStyle name="표준 2 3 5 2 3 2 2 3" xfId="7786"/>
    <cellStyle name="표준 2 3 5 2 3 2 2 3 2" xfId="19034"/>
    <cellStyle name="표준 2 3 5 2 3 2 2 4" xfId="16596"/>
    <cellStyle name="표준 2 3 5 2 3 2 3" xfId="9234"/>
    <cellStyle name="표준 2 3 5 2 3 2 3 2" xfId="20482"/>
    <cellStyle name="표준 2 3 5 2 3 2 4" xfId="6796"/>
    <cellStyle name="표준 2 3 5 2 3 2 4 2" xfId="18044"/>
    <cellStyle name="표준 2 3 5 2 3 2 5" xfId="4355"/>
    <cellStyle name="표준 2 3 5 2 3 2 5 2" xfId="15606"/>
    <cellStyle name="표준 2 3 5 2 3 2 6" xfId="3179"/>
    <cellStyle name="표준 2 3 5 2 3 2 6 2" xfId="14457"/>
    <cellStyle name="표준 2 3 5 2 3 2 7" xfId="12997"/>
    <cellStyle name="표준 2 3 5 2 3 3" xfId="1177"/>
    <cellStyle name="표준 2 3 5 2 3 3 2" xfId="9771"/>
    <cellStyle name="표준 2 3 5 2 3 3 2 2" xfId="21019"/>
    <cellStyle name="표준 2 3 5 2 3 3 3" xfId="7333"/>
    <cellStyle name="표준 2 3 5 2 3 3 3 2" xfId="18581"/>
    <cellStyle name="표준 2 3 5 2 3 3 4" xfId="4894"/>
    <cellStyle name="표준 2 3 5 2 3 3 4 2" xfId="16143"/>
    <cellStyle name="표준 2 3 5 2 3 3 5" xfId="2798"/>
    <cellStyle name="표준 2 3 5 2 3 3 5 2" xfId="14076"/>
    <cellStyle name="표준 2 3 5 2 3 3 6" xfId="12616"/>
    <cellStyle name="표준 2 3 5 2 3 4" xfId="8781"/>
    <cellStyle name="표준 2 3 5 2 3 4 2" xfId="20029"/>
    <cellStyle name="표준 2 3 5 2 3 5" xfId="6343"/>
    <cellStyle name="표준 2 3 5 2 3 5 2" xfId="17591"/>
    <cellStyle name="표준 2 3 5 2 3 6" xfId="10954"/>
    <cellStyle name="표준 2 3 5 2 3 6 2" xfId="22201"/>
    <cellStyle name="표준 2 3 5 2 3 7" xfId="3902"/>
    <cellStyle name="표준 2 3 5 2 3 7 2" xfId="15153"/>
    <cellStyle name="표준 2 3 5 2 3 8" xfId="2146"/>
    <cellStyle name="표준 2 3 5 2 3 8 2" xfId="13573"/>
    <cellStyle name="표준 2 3 5 2 3 9" xfId="12113"/>
    <cellStyle name="표준 2 3 5 2 4" xfId="364"/>
    <cellStyle name="표준 2 3 5 2 4 2" xfId="1725"/>
    <cellStyle name="표준 2 3 5 2 4 2 2" xfId="9997"/>
    <cellStyle name="표준 2 3 5 2 4 2 2 2" xfId="21245"/>
    <cellStyle name="표준 2 3 5 2 4 2 3" xfId="7559"/>
    <cellStyle name="표준 2 3 5 2 4 2 3 2" xfId="18807"/>
    <cellStyle name="표준 2 3 5 2 4 2 4" xfId="5120"/>
    <cellStyle name="표준 2 3 5 2 4 2 4 2" xfId="16369"/>
    <cellStyle name="표준 2 3 5 2 4 2 5" xfId="3337"/>
    <cellStyle name="표준 2 3 5 2 4 2 5 2" xfId="14615"/>
    <cellStyle name="표준 2 3 5 2 4 2 6" xfId="13155"/>
    <cellStyle name="표준 2 3 5 2 4 3" xfId="1343"/>
    <cellStyle name="표준 2 3 5 2 4 3 2" xfId="9007"/>
    <cellStyle name="표준 2 3 5 2 4 3 2 2" xfId="20255"/>
    <cellStyle name="표준 2 3 5 2 4 3 3" xfId="2964"/>
    <cellStyle name="표준 2 3 5 2 4 3 3 2" xfId="14242"/>
    <cellStyle name="표준 2 3 5 2 4 3 4" xfId="12782"/>
    <cellStyle name="표준 2 3 5 2 4 4" xfId="6569"/>
    <cellStyle name="표준 2 3 5 2 4 4 2" xfId="17817"/>
    <cellStyle name="표준 2 3 5 2 4 5" xfId="4128"/>
    <cellStyle name="표준 2 3 5 2 4 5 2" xfId="15379"/>
    <cellStyle name="표준 2 3 5 2 4 6" xfId="2036"/>
    <cellStyle name="표준 2 3 5 2 4 6 2" xfId="13463"/>
    <cellStyle name="표준 2 3 5 2 4 7" xfId="12003"/>
    <cellStyle name="표준 2 3 5 2 5" xfId="708"/>
    <cellStyle name="표준 2 3 5 2 5 2" xfId="1433"/>
    <cellStyle name="표준 2 3 5 2 5 2 2" xfId="10404"/>
    <cellStyle name="표준 2 3 5 2 5 2 2 2" xfId="21652"/>
    <cellStyle name="표준 2 3 5 2 5 2 3" xfId="7966"/>
    <cellStyle name="표준 2 3 5 2 5 2 3 2" xfId="19214"/>
    <cellStyle name="표준 2 3 5 2 5 2 4" xfId="5527"/>
    <cellStyle name="표준 2 3 5 2 5 2 4 2" xfId="16776"/>
    <cellStyle name="표준 2 3 5 2 5 2 5" xfId="3047"/>
    <cellStyle name="표준 2 3 5 2 5 2 5 2" xfId="14325"/>
    <cellStyle name="표준 2 3 5 2 5 2 6" xfId="12865"/>
    <cellStyle name="표준 2 3 5 2 5 3" xfId="9414"/>
    <cellStyle name="표준 2 3 5 2 5 3 2" xfId="20662"/>
    <cellStyle name="표준 2 3 5 2 5 4" xfId="6976"/>
    <cellStyle name="표준 2 3 5 2 5 4 2" xfId="18224"/>
    <cellStyle name="표준 2 3 5 2 5 5" xfId="4537"/>
    <cellStyle name="표준 2 3 5 2 5 5 2" xfId="15786"/>
    <cellStyle name="표준 2 3 5 2 5 6" xfId="2340"/>
    <cellStyle name="표준 2 3 5 2 5 6 2" xfId="13753"/>
    <cellStyle name="표준 2 3 5 2 5 7" xfId="12293"/>
    <cellStyle name="표준 2 3 5 2 6" xfId="1067"/>
    <cellStyle name="표준 2 3 5 2 6 2" xfId="9545"/>
    <cellStyle name="표준 2 3 5 2 6 2 2" xfId="20793"/>
    <cellStyle name="표준 2 3 5 2 6 3" xfId="7107"/>
    <cellStyle name="표준 2 3 5 2 6 3 2" xfId="18355"/>
    <cellStyle name="표준 2 3 5 2 6 4" xfId="4668"/>
    <cellStyle name="표준 2 3 5 2 6 4 2" xfId="15917"/>
    <cellStyle name="표준 2 3 5 2 6 5" xfId="2688"/>
    <cellStyle name="표준 2 3 5 2 6 5 2" xfId="13966"/>
    <cellStyle name="표준 2 3 5 2 6 6" xfId="12506"/>
    <cellStyle name="표준 2 3 5 2 7" xfId="1003"/>
    <cellStyle name="표준 2 3 5 2 7 2" xfId="10488"/>
    <cellStyle name="표준 2 3 5 2 7 2 2" xfId="21736"/>
    <cellStyle name="표준 2 3 5 2 7 3" xfId="8050"/>
    <cellStyle name="표준 2 3 5 2 7 3 2" xfId="19298"/>
    <cellStyle name="표준 2 3 5 2 7 4" xfId="5611"/>
    <cellStyle name="표준 2 3 5 2 7 4 2" xfId="16860"/>
    <cellStyle name="표준 2 3 5 2 7 5" xfId="2624"/>
    <cellStyle name="표준 2 3 5 2 7 5 2" xfId="13902"/>
    <cellStyle name="표준 2 3 5 2 7 6" xfId="12442"/>
    <cellStyle name="표준 2 3 5 2 8" xfId="5717"/>
    <cellStyle name="표준 2 3 5 2 8 2" xfId="10594"/>
    <cellStyle name="표준 2 3 5 2 8 2 2" xfId="21842"/>
    <cellStyle name="표준 2 3 5 2 8 3" xfId="8156"/>
    <cellStyle name="표준 2 3 5 2 8 3 2" xfId="19404"/>
    <cellStyle name="표준 2 3 5 2 8 4" xfId="16966"/>
    <cellStyle name="표준 2 3 5 2 9" xfId="5800"/>
    <cellStyle name="표준 2 3 5 2 9 2" xfId="10677"/>
    <cellStyle name="표준 2 3 5 2 9 2 2" xfId="21925"/>
    <cellStyle name="표준 2 3 5 2 9 3" xfId="8239"/>
    <cellStyle name="표준 2 3 5 2 9 3 2" xfId="19487"/>
    <cellStyle name="표준 2 3 5 2 9 4" xfId="17049"/>
    <cellStyle name="표준 2 3 5 3" xfId="159"/>
    <cellStyle name="표준 2 3 5 3 10" xfId="1834"/>
    <cellStyle name="표준 2 3 5 3 10 2" xfId="13261"/>
    <cellStyle name="표준 2 3 5 3 11" xfId="11801"/>
    <cellStyle name="표준 2 3 5 3 2" xfId="272"/>
    <cellStyle name="표준 2 3 5 3 2 2" xfId="556"/>
    <cellStyle name="표준 2 3 5 3 2 2 2" xfId="1644"/>
    <cellStyle name="표준 2 3 5 3 2 2 2 2" xfId="10223"/>
    <cellStyle name="표준 2 3 5 3 2 2 2 2 2" xfId="21471"/>
    <cellStyle name="표준 2 3 5 3 2 2 2 3" xfId="7785"/>
    <cellStyle name="표준 2 3 5 3 2 2 2 3 2" xfId="19033"/>
    <cellStyle name="표준 2 3 5 3 2 2 2 4" xfId="5346"/>
    <cellStyle name="표준 2 3 5 3 2 2 2 4 2" xfId="16595"/>
    <cellStyle name="표준 2 3 5 3 2 2 2 5" xfId="3256"/>
    <cellStyle name="표준 2 3 5 3 2 2 2 5 2" xfId="14534"/>
    <cellStyle name="표준 2 3 5 3 2 2 2 6" xfId="13074"/>
    <cellStyle name="표준 2 3 5 3 2 2 3" xfId="9233"/>
    <cellStyle name="표준 2 3 5 3 2 2 3 2" xfId="20481"/>
    <cellStyle name="표준 2 3 5 3 2 2 4" xfId="6795"/>
    <cellStyle name="표준 2 3 5 3 2 2 4 2" xfId="18043"/>
    <cellStyle name="표준 2 3 5 3 2 2 5" xfId="4354"/>
    <cellStyle name="표준 2 3 5 3 2 2 5 2" xfId="15605"/>
    <cellStyle name="표준 2 3 5 3 2 2 6" xfId="2228"/>
    <cellStyle name="표준 2 3 5 3 2 2 6 2" xfId="13655"/>
    <cellStyle name="표준 2 3 5 3 2 2 7" xfId="12195"/>
    <cellStyle name="표준 2 3 5 3 2 3" xfId="1259"/>
    <cellStyle name="표준 2 3 5 3 2 3 2" xfId="9770"/>
    <cellStyle name="표준 2 3 5 3 2 3 2 2" xfId="21018"/>
    <cellStyle name="표준 2 3 5 3 2 3 3" xfId="7332"/>
    <cellStyle name="표준 2 3 5 3 2 3 3 2" xfId="18580"/>
    <cellStyle name="표준 2 3 5 3 2 3 4" xfId="4893"/>
    <cellStyle name="표준 2 3 5 3 2 3 4 2" xfId="16142"/>
    <cellStyle name="표준 2 3 5 3 2 3 5" xfId="2880"/>
    <cellStyle name="표준 2 3 5 3 2 3 5 2" xfId="14158"/>
    <cellStyle name="표준 2 3 5 3 2 3 6" xfId="12698"/>
    <cellStyle name="표준 2 3 5 3 2 4" xfId="8780"/>
    <cellStyle name="표준 2 3 5 3 2 4 2" xfId="20028"/>
    <cellStyle name="표준 2 3 5 3 2 5" xfId="6342"/>
    <cellStyle name="표준 2 3 5 3 2 5 2" xfId="17590"/>
    <cellStyle name="표준 2 3 5 3 2 6" xfId="11036"/>
    <cellStyle name="표준 2 3 5 3 2 6 2" xfId="22283"/>
    <cellStyle name="표준 2 3 5 3 2 7" xfId="3901"/>
    <cellStyle name="표준 2 3 5 3 2 7 2" xfId="15152"/>
    <cellStyle name="표준 2 3 5 3 2 8" xfId="1944"/>
    <cellStyle name="표준 2 3 5 3 2 8 2" xfId="13371"/>
    <cellStyle name="표준 2 3 5 3 2 9" xfId="11911"/>
    <cellStyle name="표준 2 3 5 3 3" xfId="446"/>
    <cellStyle name="표준 2 3 5 3 3 2" xfId="1539"/>
    <cellStyle name="표준 2 3 5 3 3 2 2" xfId="9996"/>
    <cellStyle name="표준 2 3 5 3 3 2 2 2" xfId="21244"/>
    <cellStyle name="표준 2 3 5 3 3 2 3" xfId="7558"/>
    <cellStyle name="표준 2 3 5 3 3 2 3 2" xfId="18806"/>
    <cellStyle name="표준 2 3 5 3 3 2 4" xfId="5119"/>
    <cellStyle name="표준 2 3 5 3 3 2 4 2" xfId="16368"/>
    <cellStyle name="표준 2 3 5 3 3 2 5" xfId="3151"/>
    <cellStyle name="표준 2 3 5 3 3 2 5 2" xfId="14429"/>
    <cellStyle name="표준 2 3 5 3 3 2 6" xfId="12969"/>
    <cellStyle name="표준 2 3 5 3 3 3" xfId="9006"/>
    <cellStyle name="표준 2 3 5 3 3 3 2" xfId="20254"/>
    <cellStyle name="표준 2 3 5 3 3 4" xfId="6568"/>
    <cellStyle name="표준 2 3 5 3 3 4 2" xfId="17816"/>
    <cellStyle name="표준 2 3 5 3 3 5" xfId="4127"/>
    <cellStyle name="표준 2 3 5 3 3 5 2" xfId="15378"/>
    <cellStyle name="표준 2 3 5 3 3 6" xfId="2118"/>
    <cellStyle name="표준 2 3 5 3 3 6 2" xfId="13545"/>
    <cellStyle name="표준 2 3 5 3 3 7" xfId="12085"/>
    <cellStyle name="표준 2 3 5 3 4" xfId="779"/>
    <cellStyle name="표준 2 3 5 3 4 2" xfId="9544"/>
    <cellStyle name="표준 2 3 5 3 4 2 2" xfId="20792"/>
    <cellStyle name="표준 2 3 5 3 4 3" xfId="7106"/>
    <cellStyle name="표준 2 3 5 3 4 3 2" xfId="18354"/>
    <cellStyle name="표준 2 3 5 3 4 4" xfId="4667"/>
    <cellStyle name="표준 2 3 5 3 4 4 2" xfId="15916"/>
    <cellStyle name="표준 2 3 5 3 4 5" xfId="2406"/>
    <cellStyle name="표준 2 3 5 3 4 5 2" xfId="13801"/>
    <cellStyle name="표준 2 3 5 3 4 6" xfId="12341"/>
    <cellStyle name="표준 2 3 5 3 5" xfId="1149"/>
    <cellStyle name="표준 2 3 5 3 5 2" xfId="8575"/>
    <cellStyle name="표준 2 3 5 3 5 2 2" xfId="19823"/>
    <cellStyle name="표준 2 3 5 3 5 3" xfId="6137"/>
    <cellStyle name="표준 2 3 5 3 5 3 2" xfId="17385"/>
    <cellStyle name="표준 2 3 5 3 5 4" xfId="3696"/>
    <cellStyle name="표준 2 3 5 3 5 4 2" xfId="14947"/>
    <cellStyle name="표준 2 3 5 3 5 5" xfId="2770"/>
    <cellStyle name="표준 2 3 5 3 5 5 2" xfId="14048"/>
    <cellStyle name="표준 2 3 5 3 5 6" xfId="12588"/>
    <cellStyle name="표준 2 3 5 3 6" xfId="8405"/>
    <cellStyle name="표준 2 3 5 3 6 2" xfId="19653"/>
    <cellStyle name="표준 2 3 5 3 7" xfId="5967"/>
    <cellStyle name="표준 2 3 5 3 7 2" xfId="17215"/>
    <cellStyle name="표준 2 3 5 3 8" xfId="10851"/>
    <cellStyle name="표준 2 3 5 3 8 2" xfId="22099"/>
    <cellStyle name="표준 2 3 5 3 9" xfId="3505"/>
    <cellStyle name="표준 2 3 5 3 9 2" xfId="14777"/>
    <cellStyle name="표준 2 3 5 4" xfId="224"/>
    <cellStyle name="표준 2 3 5 4 10" xfId="11863"/>
    <cellStyle name="표준 2 3 5 4 2" xfId="508"/>
    <cellStyle name="표준 2 3 5 4 2 2" xfId="1596"/>
    <cellStyle name="표준 2 3 5 4 2 2 2" xfId="5432"/>
    <cellStyle name="표준 2 3 5 4 2 2 2 2" xfId="10309"/>
    <cellStyle name="표준 2 3 5 4 2 2 2 2 2" xfId="21557"/>
    <cellStyle name="표준 2 3 5 4 2 2 2 3" xfId="7871"/>
    <cellStyle name="표준 2 3 5 4 2 2 2 3 2" xfId="19119"/>
    <cellStyle name="표준 2 3 5 4 2 2 2 4" xfId="16681"/>
    <cellStyle name="표준 2 3 5 4 2 2 3" xfId="9319"/>
    <cellStyle name="표준 2 3 5 4 2 2 3 2" xfId="20567"/>
    <cellStyle name="표준 2 3 5 4 2 2 4" xfId="6881"/>
    <cellStyle name="표준 2 3 5 4 2 2 4 2" xfId="18129"/>
    <cellStyle name="표준 2 3 5 4 2 2 5" xfId="4440"/>
    <cellStyle name="표준 2 3 5 4 2 2 5 2" xfId="15691"/>
    <cellStyle name="표준 2 3 5 4 2 2 6" xfId="3208"/>
    <cellStyle name="표준 2 3 5 4 2 2 6 2" xfId="14486"/>
    <cellStyle name="표준 2 3 5 4 2 2 7" xfId="13026"/>
    <cellStyle name="표준 2 3 5 4 2 3" xfId="4979"/>
    <cellStyle name="표준 2 3 5 4 2 3 2" xfId="9856"/>
    <cellStyle name="표준 2 3 5 4 2 3 2 2" xfId="21104"/>
    <cellStyle name="표준 2 3 5 4 2 3 3" xfId="7418"/>
    <cellStyle name="표준 2 3 5 4 2 3 3 2" xfId="18666"/>
    <cellStyle name="표준 2 3 5 4 2 3 4" xfId="16228"/>
    <cellStyle name="표준 2 3 5 4 2 4" xfId="8866"/>
    <cellStyle name="표준 2 3 5 4 2 4 2" xfId="20114"/>
    <cellStyle name="표준 2 3 5 4 2 5" xfId="6428"/>
    <cellStyle name="표준 2 3 5 4 2 5 2" xfId="17676"/>
    <cellStyle name="표준 2 3 5 4 2 6" xfId="3987"/>
    <cellStyle name="표준 2 3 5 4 2 6 2" xfId="15238"/>
    <cellStyle name="표준 2 3 5 4 2 7" xfId="2180"/>
    <cellStyle name="표준 2 3 5 4 2 7 2" xfId="13607"/>
    <cellStyle name="표준 2 3 5 4 2 8" xfId="12147"/>
    <cellStyle name="표준 2 3 5 4 3" xfId="1211"/>
    <cellStyle name="표준 2 3 5 4 3 2" xfId="5205"/>
    <cellStyle name="표준 2 3 5 4 3 2 2" xfId="10082"/>
    <cellStyle name="표준 2 3 5 4 3 2 2 2" xfId="21330"/>
    <cellStyle name="표준 2 3 5 4 3 2 3" xfId="7644"/>
    <cellStyle name="표준 2 3 5 4 3 2 3 2" xfId="18892"/>
    <cellStyle name="표준 2 3 5 4 3 2 4" xfId="16454"/>
    <cellStyle name="표준 2 3 5 4 3 3" xfId="9092"/>
    <cellStyle name="표준 2 3 5 4 3 3 2" xfId="20340"/>
    <cellStyle name="표준 2 3 5 4 3 4" xfId="6654"/>
    <cellStyle name="표준 2 3 5 4 3 4 2" xfId="17902"/>
    <cellStyle name="표준 2 3 5 4 3 5" xfId="4213"/>
    <cellStyle name="표준 2 3 5 4 3 5 2" xfId="15464"/>
    <cellStyle name="표준 2 3 5 4 3 6" xfId="2832"/>
    <cellStyle name="표준 2 3 5 4 3 6 2" xfId="14110"/>
    <cellStyle name="표준 2 3 5 4 3 7" xfId="12650"/>
    <cellStyle name="표준 2 3 5 4 4" xfId="4753"/>
    <cellStyle name="표준 2 3 5 4 4 2" xfId="9630"/>
    <cellStyle name="표준 2 3 5 4 4 2 2" xfId="20878"/>
    <cellStyle name="표준 2 3 5 4 4 3" xfId="7192"/>
    <cellStyle name="표준 2 3 5 4 4 3 2" xfId="18440"/>
    <cellStyle name="표준 2 3 5 4 4 4" xfId="16002"/>
    <cellStyle name="표준 2 3 5 4 5" xfId="8640"/>
    <cellStyle name="표준 2 3 5 4 5 2" xfId="19888"/>
    <cellStyle name="표준 2 3 5 4 6" xfId="6202"/>
    <cellStyle name="표준 2 3 5 4 6 2" xfId="17450"/>
    <cellStyle name="표준 2 3 5 4 7" xfId="10953"/>
    <cellStyle name="표준 2 3 5 4 7 2" xfId="22200"/>
    <cellStyle name="표준 2 3 5 4 8" xfId="3761"/>
    <cellStyle name="표준 2 3 5 4 8 2" xfId="15012"/>
    <cellStyle name="표준 2 3 5 4 9" xfId="1896"/>
    <cellStyle name="표준 2 3 5 4 9 2" xfId="13323"/>
    <cellStyle name="표준 2 3 5 5" xfId="398"/>
    <cellStyle name="표준 2 3 5 5 2" xfId="1496"/>
    <cellStyle name="표준 2 3 5 5 2 2" xfId="5281"/>
    <cellStyle name="표준 2 3 5 5 2 2 2" xfId="10158"/>
    <cellStyle name="표준 2 3 5 5 2 2 2 2" xfId="21406"/>
    <cellStyle name="표준 2 3 5 5 2 2 3" xfId="7720"/>
    <cellStyle name="표준 2 3 5 5 2 2 3 2" xfId="18968"/>
    <cellStyle name="표준 2 3 5 5 2 2 4" xfId="16530"/>
    <cellStyle name="표준 2 3 5 5 2 3" xfId="9168"/>
    <cellStyle name="표준 2 3 5 5 2 3 2" xfId="20416"/>
    <cellStyle name="표준 2 3 5 5 2 4" xfId="6730"/>
    <cellStyle name="표준 2 3 5 5 2 4 2" xfId="17978"/>
    <cellStyle name="표준 2 3 5 5 2 5" xfId="4289"/>
    <cellStyle name="표준 2 3 5 5 2 5 2" xfId="15540"/>
    <cellStyle name="표준 2 3 5 5 2 6" xfId="3108"/>
    <cellStyle name="표준 2 3 5 5 2 6 2" xfId="14386"/>
    <cellStyle name="표준 2 3 5 5 2 7" xfId="12926"/>
    <cellStyle name="표준 2 3 5 5 3" xfId="1101"/>
    <cellStyle name="표준 2 3 5 5 3 2" xfId="9705"/>
    <cellStyle name="표준 2 3 5 5 3 2 2" xfId="20953"/>
    <cellStyle name="표준 2 3 5 5 3 3" xfId="7267"/>
    <cellStyle name="표준 2 3 5 5 3 3 2" xfId="18515"/>
    <cellStyle name="표준 2 3 5 5 3 4" xfId="4828"/>
    <cellStyle name="표준 2 3 5 5 3 4 2" xfId="16077"/>
    <cellStyle name="표준 2 3 5 5 3 5" xfId="2722"/>
    <cellStyle name="표준 2 3 5 5 3 5 2" xfId="14000"/>
    <cellStyle name="표준 2 3 5 5 3 6" xfId="12540"/>
    <cellStyle name="표준 2 3 5 5 4" xfId="8715"/>
    <cellStyle name="표준 2 3 5 5 4 2" xfId="19963"/>
    <cellStyle name="표준 2 3 5 5 5" xfId="6277"/>
    <cellStyle name="표준 2 3 5 5 5 2" xfId="17525"/>
    <cellStyle name="표준 2 3 5 5 6" xfId="3836"/>
    <cellStyle name="표준 2 3 5 5 6 2" xfId="15087"/>
    <cellStyle name="표준 2 3 5 5 7" xfId="2070"/>
    <cellStyle name="표준 2 3 5 5 7 2" xfId="13497"/>
    <cellStyle name="표준 2 3 5 5 8" xfId="12037"/>
    <cellStyle name="표준 2 3 5 6" xfId="336"/>
    <cellStyle name="표준 2 3 5 6 2" xfId="1724"/>
    <cellStyle name="표준 2 3 5 6 2 2" xfId="9931"/>
    <cellStyle name="표준 2 3 5 6 2 2 2" xfId="21179"/>
    <cellStyle name="표준 2 3 5 6 2 3" xfId="7493"/>
    <cellStyle name="표준 2 3 5 6 2 3 2" xfId="18741"/>
    <cellStyle name="표준 2 3 5 6 2 4" xfId="5054"/>
    <cellStyle name="표준 2 3 5 6 2 4 2" xfId="16303"/>
    <cellStyle name="표준 2 3 5 6 2 5" xfId="3336"/>
    <cellStyle name="표준 2 3 5 6 2 5 2" xfId="14614"/>
    <cellStyle name="표준 2 3 5 6 2 6" xfId="13154"/>
    <cellStyle name="표준 2 3 5 6 3" xfId="1342"/>
    <cellStyle name="표준 2 3 5 6 3 2" xfId="8941"/>
    <cellStyle name="표준 2 3 5 6 3 2 2" xfId="20189"/>
    <cellStyle name="표준 2 3 5 6 3 3" xfId="2963"/>
    <cellStyle name="표준 2 3 5 6 3 3 2" xfId="14241"/>
    <cellStyle name="표준 2 3 5 6 3 4" xfId="12781"/>
    <cellStyle name="표준 2 3 5 6 4" xfId="6503"/>
    <cellStyle name="표준 2 3 5 6 4 2" xfId="17751"/>
    <cellStyle name="표준 2 3 5 6 5" xfId="4062"/>
    <cellStyle name="표준 2 3 5 6 5 2" xfId="15313"/>
    <cellStyle name="표준 2 3 5 6 6" xfId="2008"/>
    <cellStyle name="표준 2 3 5 6 6 2" xfId="13435"/>
    <cellStyle name="표준 2 3 5 6 7" xfId="11975"/>
    <cellStyle name="표준 2 3 5 7" xfId="635"/>
    <cellStyle name="표준 2 3 5 7 2" xfId="1432"/>
    <cellStyle name="표준 2 3 5 7 2 2" xfId="10403"/>
    <cellStyle name="표준 2 3 5 7 2 2 2" xfId="21651"/>
    <cellStyle name="표준 2 3 5 7 2 3" xfId="7965"/>
    <cellStyle name="표준 2 3 5 7 2 3 2" xfId="19213"/>
    <cellStyle name="표준 2 3 5 7 2 4" xfId="5526"/>
    <cellStyle name="표준 2 3 5 7 2 4 2" xfId="16775"/>
    <cellStyle name="표준 2 3 5 7 2 5" xfId="3046"/>
    <cellStyle name="표준 2 3 5 7 2 5 2" xfId="14324"/>
    <cellStyle name="표준 2 3 5 7 2 6" xfId="12864"/>
    <cellStyle name="표준 2 3 5 7 3" xfId="9413"/>
    <cellStyle name="표준 2 3 5 7 3 2" xfId="20661"/>
    <cellStyle name="표준 2 3 5 7 4" xfId="6975"/>
    <cellStyle name="표준 2 3 5 7 4 2" xfId="18223"/>
    <cellStyle name="표준 2 3 5 7 5" xfId="4536"/>
    <cellStyle name="표준 2 3 5 7 5 2" xfId="15785"/>
    <cellStyle name="표준 2 3 5 7 6" xfId="2306"/>
    <cellStyle name="표준 2 3 5 7 6 2" xfId="13721"/>
    <cellStyle name="표준 2 3 5 7 7" xfId="12261"/>
    <cellStyle name="표준 2 3 5 8" xfId="1039"/>
    <cellStyle name="표준 2 3 5 8 2" xfId="9479"/>
    <cellStyle name="표준 2 3 5 8 2 2" xfId="20727"/>
    <cellStyle name="표준 2 3 5 8 3" xfId="7041"/>
    <cellStyle name="표준 2 3 5 8 3 2" xfId="18289"/>
    <cellStyle name="표준 2 3 5 8 4" xfId="4602"/>
    <cellStyle name="표준 2 3 5 8 4 2" xfId="15851"/>
    <cellStyle name="표준 2 3 5 8 5" xfId="2660"/>
    <cellStyle name="표준 2 3 5 8 5 2" xfId="13938"/>
    <cellStyle name="표준 2 3 5 8 6" xfId="12478"/>
    <cellStyle name="표준 2 3 5 9" xfId="976"/>
    <cellStyle name="표준 2 3 5 9 2" xfId="10487"/>
    <cellStyle name="표준 2 3 5 9 2 2" xfId="21735"/>
    <cellStyle name="표준 2 3 5 9 3" xfId="8049"/>
    <cellStyle name="표준 2 3 5 9 3 2" xfId="19297"/>
    <cellStyle name="표준 2 3 5 9 4" xfId="5610"/>
    <cellStyle name="표준 2 3 5 9 4 2" xfId="16859"/>
    <cellStyle name="표준 2 3 5 9 5" xfId="2597"/>
    <cellStyle name="표준 2 3 5 9 5 2" xfId="13875"/>
    <cellStyle name="표준 2 3 5 9 6" xfId="12415"/>
    <cellStyle name="표준 2 3 6" xfId="87"/>
    <cellStyle name="표준 2 3 6 10" xfId="5718"/>
    <cellStyle name="표준 2 3 6 10 2" xfId="10595"/>
    <cellStyle name="표준 2 3 6 10 2 2" xfId="21843"/>
    <cellStyle name="표준 2 3 6 10 3" xfId="8157"/>
    <cellStyle name="표준 2 3 6 10 3 2" xfId="19405"/>
    <cellStyle name="표준 2 3 6 10 4" xfId="16967"/>
    <cellStyle name="표준 2 3 6 11" xfId="5801"/>
    <cellStyle name="표준 2 3 6 11 2" xfId="10678"/>
    <cellStyle name="표준 2 3 6 11 2 2" xfId="21926"/>
    <cellStyle name="표준 2 3 6 11 3" xfId="8240"/>
    <cellStyle name="표준 2 3 6 11 3 2" xfId="19488"/>
    <cellStyle name="표준 2 3 6 11 4" xfId="17050"/>
    <cellStyle name="표준 2 3 6 12" xfId="3604"/>
    <cellStyle name="표준 2 3 6 12 2" xfId="8503"/>
    <cellStyle name="표준 2 3 6 12 2 2" xfId="19751"/>
    <cellStyle name="표준 2 3 6 12 3" xfId="6065"/>
    <cellStyle name="표준 2 3 6 12 3 2" xfId="17313"/>
    <cellStyle name="표준 2 3 6 12 4" xfId="14875"/>
    <cellStyle name="표준 2 3 6 13" xfId="8324"/>
    <cellStyle name="표준 2 3 6 13 2" xfId="19572"/>
    <cellStyle name="표준 2 3 6 14" xfId="5886"/>
    <cellStyle name="표준 2 3 6 14 2" xfId="17134"/>
    <cellStyle name="표준 2 3 6 15" xfId="10770"/>
    <cellStyle name="표준 2 3 6 15 2" xfId="22018"/>
    <cellStyle name="표준 2 3 6 16" xfId="3418"/>
    <cellStyle name="표준 2 3 6 16 2" xfId="14696"/>
    <cellStyle name="표준 2 3 6 17" xfId="1803"/>
    <cellStyle name="표준 2 3 6 17 2" xfId="13232"/>
    <cellStyle name="표준 2 3 6 18" xfId="11772"/>
    <cellStyle name="표준 2 3 6 2" xfId="192"/>
    <cellStyle name="표준 2 3 6 2 10" xfId="3605"/>
    <cellStyle name="표준 2 3 6 2 10 2" xfId="8504"/>
    <cellStyle name="표준 2 3 6 2 10 2 2" xfId="19752"/>
    <cellStyle name="표준 2 3 6 2 10 3" xfId="6066"/>
    <cellStyle name="표준 2 3 6 2 10 3 2" xfId="17314"/>
    <cellStyle name="표준 2 3 6 2 10 4" xfId="14876"/>
    <cellStyle name="표준 2 3 6 2 11" xfId="8325"/>
    <cellStyle name="표준 2 3 6 2 11 2" xfId="19573"/>
    <cellStyle name="표준 2 3 6 2 12" xfId="5887"/>
    <cellStyle name="표준 2 3 6 2 12 2" xfId="17135"/>
    <cellStyle name="표준 2 3 6 2 13" xfId="10771"/>
    <cellStyle name="표준 2 3 6 2 13 2" xfId="22019"/>
    <cellStyle name="표준 2 3 6 2 14" xfId="3419"/>
    <cellStyle name="표준 2 3 6 2 14 2" xfId="14697"/>
    <cellStyle name="표준 2 3 6 2 15" xfId="1865"/>
    <cellStyle name="표준 2 3 6 2 15 2" xfId="13292"/>
    <cellStyle name="표준 2 3 6 2 16" xfId="11832"/>
    <cellStyle name="표준 2 3 6 2 2" xfId="303"/>
    <cellStyle name="표준 2 3 6 2 2 10" xfId="1975"/>
    <cellStyle name="표준 2 3 6 2 2 10 2" xfId="13402"/>
    <cellStyle name="표준 2 3 6 2 2 11" xfId="11942"/>
    <cellStyle name="표준 2 3 6 2 2 2" xfId="587"/>
    <cellStyle name="표준 2 3 6 2 2 2 2" xfId="1675"/>
    <cellStyle name="표준 2 3 6 2 2 2 2 2" xfId="5435"/>
    <cellStyle name="표준 2 3 6 2 2 2 2 2 2" xfId="10312"/>
    <cellStyle name="표준 2 3 6 2 2 2 2 2 2 2" xfId="21560"/>
    <cellStyle name="표준 2 3 6 2 2 2 2 2 3" xfId="7874"/>
    <cellStyle name="표준 2 3 6 2 2 2 2 2 3 2" xfId="19122"/>
    <cellStyle name="표준 2 3 6 2 2 2 2 2 4" xfId="16684"/>
    <cellStyle name="표준 2 3 6 2 2 2 2 3" xfId="9322"/>
    <cellStyle name="표준 2 3 6 2 2 2 2 3 2" xfId="20570"/>
    <cellStyle name="표준 2 3 6 2 2 2 2 4" xfId="6884"/>
    <cellStyle name="표준 2 3 6 2 2 2 2 4 2" xfId="18132"/>
    <cellStyle name="표준 2 3 6 2 2 2 2 5" xfId="4443"/>
    <cellStyle name="표준 2 3 6 2 2 2 2 5 2" xfId="15694"/>
    <cellStyle name="표준 2 3 6 2 2 2 2 6" xfId="3287"/>
    <cellStyle name="표준 2 3 6 2 2 2 2 6 2" xfId="14565"/>
    <cellStyle name="표준 2 3 6 2 2 2 2 7" xfId="13105"/>
    <cellStyle name="표준 2 3 6 2 2 2 3" xfId="4982"/>
    <cellStyle name="표준 2 3 6 2 2 2 3 2" xfId="9859"/>
    <cellStyle name="표준 2 3 6 2 2 2 3 2 2" xfId="21107"/>
    <cellStyle name="표준 2 3 6 2 2 2 3 3" xfId="7421"/>
    <cellStyle name="표준 2 3 6 2 2 2 3 3 2" xfId="18669"/>
    <cellStyle name="표준 2 3 6 2 2 2 3 4" xfId="16231"/>
    <cellStyle name="표준 2 3 6 2 2 2 4" xfId="8869"/>
    <cellStyle name="표준 2 3 6 2 2 2 4 2" xfId="20117"/>
    <cellStyle name="표준 2 3 6 2 2 2 5" xfId="6431"/>
    <cellStyle name="표준 2 3 6 2 2 2 5 2" xfId="17679"/>
    <cellStyle name="표준 2 3 6 2 2 2 6" xfId="11039"/>
    <cellStyle name="표준 2 3 6 2 2 2 6 2" xfId="22286"/>
    <cellStyle name="표준 2 3 6 2 2 2 7" xfId="3990"/>
    <cellStyle name="표준 2 3 6 2 2 2 7 2" xfId="15241"/>
    <cellStyle name="표준 2 3 6 2 2 2 8" xfId="2259"/>
    <cellStyle name="표준 2 3 6 2 2 2 8 2" xfId="13686"/>
    <cellStyle name="표준 2 3 6 2 2 2 9" xfId="12226"/>
    <cellStyle name="표준 2 3 6 2 2 3" xfId="782"/>
    <cellStyle name="표준 2 3 6 2 2 3 2" xfId="5208"/>
    <cellStyle name="표준 2 3 6 2 2 3 2 2" xfId="10085"/>
    <cellStyle name="표준 2 3 6 2 2 3 2 2 2" xfId="21333"/>
    <cellStyle name="표준 2 3 6 2 2 3 2 3" xfId="7647"/>
    <cellStyle name="표준 2 3 6 2 2 3 2 3 2" xfId="18895"/>
    <cellStyle name="표준 2 3 6 2 2 3 2 4" xfId="16457"/>
    <cellStyle name="표준 2 3 6 2 2 3 3" xfId="9095"/>
    <cellStyle name="표준 2 3 6 2 2 3 3 2" xfId="20343"/>
    <cellStyle name="표준 2 3 6 2 2 3 4" xfId="6657"/>
    <cellStyle name="표준 2 3 6 2 2 3 4 2" xfId="17905"/>
    <cellStyle name="표준 2 3 6 2 2 3 5" xfId="4216"/>
    <cellStyle name="표준 2 3 6 2 2 3 5 2" xfId="15467"/>
    <cellStyle name="표준 2 3 6 2 2 3 6" xfId="2409"/>
    <cellStyle name="표준 2 3 6 2 2 3 6 2" xfId="13804"/>
    <cellStyle name="표준 2 3 6 2 2 3 7" xfId="12344"/>
    <cellStyle name="표준 2 3 6 2 2 4" xfId="1290"/>
    <cellStyle name="표준 2 3 6 2 2 4 2" xfId="9633"/>
    <cellStyle name="표준 2 3 6 2 2 4 2 2" xfId="20881"/>
    <cellStyle name="표준 2 3 6 2 2 4 3" xfId="7195"/>
    <cellStyle name="표준 2 3 6 2 2 4 3 2" xfId="18443"/>
    <cellStyle name="표준 2 3 6 2 2 4 4" xfId="4756"/>
    <cellStyle name="표준 2 3 6 2 2 4 4 2" xfId="16005"/>
    <cellStyle name="표준 2 3 6 2 2 4 5" xfId="2911"/>
    <cellStyle name="표준 2 3 6 2 2 4 5 2" xfId="14189"/>
    <cellStyle name="표준 2 3 6 2 2 4 6" xfId="12729"/>
    <cellStyle name="표준 2 3 6 2 2 5" xfId="3764"/>
    <cellStyle name="표준 2 3 6 2 2 5 2" xfId="8643"/>
    <cellStyle name="표준 2 3 6 2 2 5 2 2" xfId="19891"/>
    <cellStyle name="표준 2 3 6 2 2 5 3" xfId="6205"/>
    <cellStyle name="표준 2 3 6 2 2 5 3 2" xfId="17453"/>
    <cellStyle name="표준 2 3 6 2 2 5 4" xfId="15015"/>
    <cellStyle name="표준 2 3 6 2 2 6" xfId="8408"/>
    <cellStyle name="표준 2 3 6 2 2 6 2" xfId="19656"/>
    <cellStyle name="표준 2 3 6 2 2 7" xfId="5970"/>
    <cellStyle name="표준 2 3 6 2 2 7 2" xfId="17218"/>
    <cellStyle name="표준 2 3 6 2 2 8" xfId="10854"/>
    <cellStyle name="표준 2 3 6 2 2 8 2" xfId="22102"/>
    <cellStyle name="표준 2 3 6 2 2 9" xfId="3508"/>
    <cellStyle name="표준 2 3 6 2 2 9 2" xfId="14780"/>
    <cellStyle name="표준 2 3 6 2 3" xfId="477"/>
    <cellStyle name="표준 2 3 6 2 3 2" xfId="1570"/>
    <cellStyle name="표준 2 3 6 2 3 2 2" xfId="5349"/>
    <cellStyle name="표준 2 3 6 2 3 2 2 2" xfId="10226"/>
    <cellStyle name="표준 2 3 6 2 3 2 2 2 2" xfId="21474"/>
    <cellStyle name="표준 2 3 6 2 3 2 2 3" xfId="7788"/>
    <cellStyle name="표준 2 3 6 2 3 2 2 3 2" xfId="19036"/>
    <cellStyle name="표준 2 3 6 2 3 2 2 4" xfId="16598"/>
    <cellStyle name="표준 2 3 6 2 3 2 3" xfId="9236"/>
    <cellStyle name="표준 2 3 6 2 3 2 3 2" xfId="20484"/>
    <cellStyle name="표준 2 3 6 2 3 2 4" xfId="6798"/>
    <cellStyle name="표준 2 3 6 2 3 2 4 2" xfId="18046"/>
    <cellStyle name="표준 2 3 6 2 3 2 5" xfId="4357"/>
    <cellStyle name="표준 2 3 6 2 3 2 5 2" xfId="15608"/>
    <cellStyle name="표준 2 3 6 2 3 2 6" xfId="3182"/>
    <cellStyle name="표준 2 3 6 2 3 2 6 2" xfId="14460"/>
    <cellStyle name="표준 2 3 6 2 3 2 7" xfId="13000"/>
    <cellStyle name="표준 2 3 6 2 3 3" xfId="1180"/>
    <cellStyle name="표준 2 3 6 2 3 3 2" xfId="9773"/>
    <cellStyle name="표준 2 3 6 2 3 3 2 2" xfId="21021"/>
    <cellStyle name="표준 2 3 6 2 3 3 3" xfId="7335"/>
    <cellStyle name="표준 2 3 6 2 3 3 3 2" xfId="18583"/>
    <cellStyle name="표준 2 3 6 2 3 3 4" xfId="4896"/>
    <cellStyle name="표준 2 3 6 2 3 3 4 2" xfId="16145"/>
    <cellStyle name="표준 2 3 6 2 3 3 5" xfId="2801"/>
    <cellStyle name="표준 2 3 6 2 3 3 5 2" xfId="14079"/>
    <cellStyle name="표준 2 3 6 2 3 3 6" xfId="12619"/>
    <cellStyle name="표준 2 3 6 2 3 4" xfId="8783"/>
    <cellStyle name="표준 2 3 6 2 3 4 2" xfId="20031"/>
    <cellStyle name="표준 2 3 6 2 3 5" xfId="6345"/>
    <cellStyle name="표준 2 3 6 2 3 5 2" xfId="17593"/>
    <cellStyle name="표준 2 3 6 2 3 6" xfId="10956"/>
    <cellStyle name="표준 2 3 6 2 3 6 2" xfId="22203"/>
    <cellStyle name="표준 2 3 6 2 3 7" xfId="3904"/>
    <cellStyle name="표준 2 3 6 2 3 7 2" xfId="15155"/>
    <cellStyle name="표준 2 3 6 2 3 8" xfId="2149"/>
    <cellStyle name="표준 2 3 6 2 3 8 2" xfId="13576"/>
    <cellStyle name="표준 2 3 6 2 3 9" xfId="12116"/>
    <cellStyle name="표준 2 3 6 2 4" xfId="367"/>
    <cellStyle name="표준 2 3 6 2 4 2" xfId="1727"/>
    <cellStyle name="표준 2 3 6 2 4 2 2" xfId="9999"/>
    <cellStyle name="표준 2 3 6 2 4 2 2 2" xfId="21247"/>
    <cellStyle name="표준 2 3 6 2 4 2 3" xfId="7561"/>
    <cellStyle name="표준 2 3 6 2 4 2 3 2" xfId="18809"/>
    <cellStyle name="표준 2 3 6 2 4 2 4" xfId="5122"/>
    <cellStyle name="표준 2 3 6 2 4 2 4 2" xfId="16371"/>
    <cellStyle name="표준 2 3 6 2 4 2 5" xfId="3339"/>
    <cellStyle name="표준 2 3 6 2 4 2 5 2" xfId="14617"/>
    <cellStyle name="표준 2 3 6 2 4 2 6" xfId="13157"/>
    <cellStyle name="표준 2 3 6 2 4 3" xfId="1345"/>
    <cellStyle name="표준 2 3 6 2 4 3 2" xfId="9009"/>
    <cellStyle name="표준 2 3 6 2 4 3 2 2" xfId="20257"/>
    <cellStyle name="표준 2 3 6 2 4 3 3" xfId="2966"/>
    <cellStyle name="표준 2 3 6 2 4 3 3 2" xfId="14244"/>
    <cellStyle name="표준 2 3 6 2 4 3 4" xfId="12784"/>
    <cellStyle name="표준 2 3 6 2 4 4" xfId="6571"/>
    <cellStyle name="표준 2 3 6 2 4 4 2" xfId="17819"/>
    <cellStyle name="표준 2 3 6 2 4 5" xfId="4130"/>
    <cellStyle name="표준 2 3 6 2 4 5 2" xfId="15381"/>
    <cellStyle name="표준 2 3 6 2 4 6" xfId="2039"/>
    <cellStyle name="표준 2 3 6 2 4 6 2" xfId="13466"/>
    <cellStyle name="표준 2 3 6 2 4 7" xfId="12006"/>
    <cellStyle name="표준 2 3 6 2 5" xfId="711"/>
    <cellStyle name="표준 2 3 6 2 5 2" xfId="1435"/>
    <cellStyle name="표준 2 3 6 2 5 2 2" xfId="10406"/>
    <cellStyle name="표준 2 3 6 2 5 2 2 2" xfId="21654"/>
    <cellStyle name="표준 2 3 6 2 5 2 3" xfId="7968"/>
    <cellStyle name="표준 2 3 6 2 5 2 3 2" xfId="19216"/>
    <cellStyle name="표준 2 3 6 2 5 2 4" xfId="5529"/>
    <cellStyle name="표준 2 3 6 2 5 2 4 2" xfId="16778"/>
    <cellStyle name="표준 2 3 6 2 5 2 5" xfId="3049"/>
    <cellStyle name="표준 2 3 6 2 5 2 5 2" xfId="14327"/>
    <cellStyle name="표준 2 3 6 2 5 2 6" xfId="12867"/>
    <cellStyle name="표준 2 3 6 2 5 3" xfId="9416"/>
    <cellStyle name="표준 2 3 6 2 5 3 2" xfId="20664"/>
    <cellStyle name="표준 2 3 6 2 5 4" xfId="6978"/>
    <cellStyle name="표준 2 3 6 2 5 4 2" xfId="18226"/>
    <cellStyle name="표준 2 3 6 2 5 5" xfId="4539"/>
    <cellStyle name="표준 2 3 6 2 5 5 2" xfId="15788"/>
    <cellStyle name="표준 2 3 6 2 5 6" xfId="2343"/>
    <cellStyle name="표준 2 3 6 2 5 6 2" xfId="13756"/>
    <cellStyle name="표준 2 3 6 2 5 7" xfId="12296"/>
    <cellStyle name="표준 2 3 6 2 6" xfId="1070"/>
    <cellStyle name="표준 2 3 6 2 6 2" xfId="9547"/>
    <cellStyle name="표준 2 3 6 2 6 2 2" xfId="20795"/>
    <cellStyle name="표준 2 3 6 2 6 3" xfId="7109"/>
    <cellStyle name="표준 2 3 6 2 6 3 2" xfId="18357"/>
    <cellStyle name="표준 2 3 6 2 6 4" xfId="4670"/>
    <cellStyle name="표준 2 3 6 2 6 4 2" xfId="15919"/>
    <cellStyle name="표준 2 3 6 2 6 5" xfId="2691"/>
    <cellStyle name="표준 2 3 6 2 6 5 2" xfId="13969"/>
    <cellStyle name="표준 2 3 6 2 6 6" xfId="12509"/>
    <cellStyle name="표준 2 3 6 2 7" xfId="1006"/>
    <cellStyle name="표준 2 3 6 2 7 2" xfId="10490"/>
    <cellStyle name="표준 2 3 6 2 7 2 2" xfId="21738"/>
    <cellStyle name="표준 2 3 6 2 7 3" xfId="8052"/>
    <cellStyle name="표준 2 3 6 2 7 3 2" xfId="19300"/>
    <cellStyle name="표준 2 3 6 2 7 4" xfId="5613"/>
    <cellStyle name="표준 2 3 6 2 7 4 2" xfId="16862"/>
    <cellStyle name="표준 2 3 6 2 7 5" xfId="2627"/>
    <cellStyle name="표준 2 3 6 2 7 5 2" xfId="13905"/>
    <cellStyle name="표준 2 3 6 2 7 6" xfId="12445"/>
    <cellStyle name="표준 2 3 6 2 8" xfId="5719"/>
    <cellStyle name="표준 2 3 6 2 8 2" xfId="10596"/>
    <cellStyle name="표준 2 3 6 2 8 2 2" xfId="21844"/>
    <cellStyle name="표준 2 3 6 2 8 3" xfId="8158"/>
    <cellStyle name="표준 2 3 6 2 8 3 2" xfId="19406"/>
    <cellStyle name="표준 2 3 6 2 8 4" xfId="16968"/>
    <cellStyle name="표준 2 3 6 2 9" xfId="5802"/>
    <cellStyle name="표준 2 3 6 2 9 2" xfId="10679"/>
    <cellStyle name="표준 2 3 6 2 9 2 2" xfId="21927"/>
    <cellStyle name="표준 2 3 6 2 9 3" xfId="8241"/>
    <cellStyle name="표준 2 3 6 2 9 3 2" xfId="19489"/>
    <cellStyle name="표준 2 3 6 2 9 4" xfId="17051"/>
    <cellStyle name="표준 2 3 6 3" xfId="163"/>
    <cellStyle name="표준 2 3 6 3 10" xfId="1837"/>
    <cellStyle name="표준 2 3 6 3 10 2" xfId="13264"/>
    <cellStyle name="표준 2 3 6 3 11" xfId="11804"/>
    <cellStyle name="표준 2 3 6 3 2" xfId="275"/>
    <cellStyle name="표준 2 3 6 3 2 2" xfId="559"/>
    <cellStyle name="표준 2 3 6 3 2 2 2" xfId="1647"/>
    <cellStyle name="표준 2 3 6 3 2 2 2 2" xfId="10225"/>
    <cellStyle name="표준 2 3 6 3 2 2 2 2 2" xfId="21473"/>
    <cellStyle name="표준 2 3 6 3 2 2 2 3" xfId="7787"/>
    <cellStyle name="표준 2 3 6 3 2 2 2 3 2" xfId="19035"/>
    <cellStyle name="표준 2 3 6 3 2 2 2 4" xfId="5348"/>
    <cellStyle name="표준 2 3 6 3 2 2 2 4 2" xfId="16597"/>
    <cellStyle name="표준 2 3 6 3 2 2 2 5" xfId="3259"/>
    <cellStyle name="표준 2 3 6 3 2 2 2 5 2" xfId="14537"/>
    <cellStyle name="표준 2 3 6 3 2 2 2 6" xfId="13077"/>
    <cellStyle name="표준 2 3 6 3 2 2 3" xfId="9235"/>
    <cellStyle name="표준 2 3 6 3 2 2 3 2" xfId="20483"/>
    <cellStyle name="표준 2 3 6 3 2 2 4" xfId="6797"/>
    <cellStyle name="표준 2 3 6 3 2 2 4 2" xfId="18045"/>
    <cellStyle name="표준 2 3 6 3 2 2 5" xfId="4356"/>
    <cellStyle name="표준 2 3 6 3 2 2 5 2" xfId="15607"/>
    <cellStyle name="표준 2 3 6 3 2 2 6" xfId="2231"/>
    <cellStyle name="표준 2 3 6 3 2 2 6 2" xfId="13658"/>
    <cellStyle name="표준 2 3 6 3 2 2 7" xfId="12198"/>
    <cellStyle name="표준 2 3 6 3 2 3" xfId="1262"/>
    <cellStyle name="표준 2 3 6 3 2 3 2" xfId="9772"/>
    <cellStyle name="표준 2 3 6 3 2 3 2 2" xfId="21020"/>
    <cellStyle name="표준 2 3 6 3 2 3 3" xfId="7334"/>
    <cellStyle name="표준 2 3 6 3 2 3 3 2" xfId="18582"/>
    <cellStyle name="표준 2 3 6 3 2 3 4" xfId="4895"/>
    <cellStyle name="표준 2 3 6 3 2 3 4 2" xfId="16144"/>
    <cellStyle name="표준 2 3 6 3 2 3 5" xfId="2883"/>
    <cellStyle name="표준 2 3 6 3 2 3 5 2" xfId="14161"/>
    <cellStyle name="표준 2 3 6 3 2 3 6" xfId="12701"/>
    <cellStyle name="표준 2 3 6 3 2 4" xfId="8782"/>
    <cellStyle name="표준 2 3 6 3 2 4 2" xfId="20030"/>
    <cellStyle name="표준 2 3 6 3 2 5" xfId="6344"/>
    <cellStyle name="표준 2 3 6 3 2 5 2" xfId="17592"/>
    <cellStyle name="표준 2 3 6 3 2 6" xfId="11038"/>
    <cellStyle name="표준 2 3 6 3 2 6 2" xfId="22285"/>
    <cellStyle name="표준 2 3 6 3 2 7" xfId="3903"/>
    <cellStyle name="표준 2 3 6 3 2 7 2" xfId="15154"/>
    <cellStyle name="표준 2 3 6 3 2 8" xfId="1947"/>
    <cellStyle name="표준 2 3 6 3 2 8 2" xfId="13374"/>
    <cellStyle name="표준 2 3 6 3 2 9" xfId="11914"/>
    <cellStyle name="표준 2 3 6 3 3" xfId="449"/>
    <cellStyle name="표준 2 3 6 3 3 2" xfId="1542"/>
    <cellStyle name="표준 2 3 6 3 3 2 2" xfId="9998"/>
    <cellStyle name="표준 2 3 6 3 3 2 2 2" xfId="21246"/>
    <cellStyle name="표준 2 3 6 3 3 2 3" xfId="7560"/>
    <cellStyle name="표준 2 3 6 3 3 2 3 2" xfId="18808"/>
    <cellStyle name="표준 2 3 6 3 3 2 4" xfId="5121"/>
    <cellStyle name="표준 2 3 6 3 3 2 4 2" xfId="16370"/>
    <cellStyle name="표준 2 3 6 3 3 2 5" xfId="3154"/>
    <cellStyle name="표준 2 3 6 3 3 2 5 2" xfId="14432"/>
    <cellStyle name="표준 2 3 6 3 3 2 6" xfId="12972"/>
    <cellStyle name="표준 2 3 6 3 3 3" xfId="9008"/>
    <cellStyle name="표준 2 3 6 3 3 3 2" xfId="20256"/>
    <cellStyle name="표준 2 3 6 3 3 4" xfId="6570"/>
    <cellStyle name="표준 2 3 6 3 3 4 2" xfId="17818"/>
    <cellStyle name="표준 2 3 6 3 3 5" xfId="4129"/>
    <cellStyle name="표준 2 3 6 3 3 5 2" xfId="15380"/>
    <cellStyle name="표준 2 3 6 3 3 6" xfId="2121"/>
    <cellStyle name="표준 2 3 6 3 3 6 2" xfId="13548"/>
    <cellStyle name="표준 2 3 6 3 3 7" xfId="12088"/>
    <cellStyle name="표준 2 3 6 3 4" xfId="781"/>
    <cellStyle name="표준 2 3 6 3 4 2" xfId="9546"/>
    <cellStyle name="표준 2 3 6 3 4 2 2" xfId="20794"/>
    <cellStyle name="표준 2 3 6 3 4 3" xfId="7108"/>
    <cellStyle name="표준 2 3 6 3 4 3 2" xfId="18356"/>
    <cellStyle name="표준 2 3 6 3 4 4" xfId="4669"/>
    <cellStyle name="표준 2 3 6 3 4 4 2" xfId="15918"/>
    <cellStyle name="표준 2 3 6 3 4 5" xfId="2408"/>
    <cellStyle name="표준 2 3 6 3 4 5 2" xfId="13803"/>
    <cellStyle name="표준 2 3 6 3 4 6" xfId="12343"/>
    <cellStyle name="표준 2 3 6 3 5" xfId="1152"/>
    <cellStyle name="표준 2 3 6 3 5 2" xfId="8576"/>
    <cellStyle name="표준 2 3 6 3 5 2 2" xfId="19824"/>
    <cellStyle name="표준 2 3 6 3 5 3" xfId="6138"/>
    <cellStyle name="표준 2 3 6 3 5 3 2" xfId="17386"/>
    <cellStyle name="표준 2 3 6 3 5 4" xfId="3697"/>
    <cellStyle name="표준 2 3 6 3 5 4 2" xfId="14948"/>
    <cellStyle name="표준 2 3 6 3 5 5" xfId="2773"/>
    <cellStyle name="표준 2 3 6 3 5 5 2" xfId="14051"/>
    <cellStyle name="표준 2 3 6 3 5 6" xfId="12591"/>
    <cellStyle name="표준 2 3 6 3 6" xfId="8407"/>
    <cellStyle name="표준 2 3 6 3 6 2" xfId="19655"/>
    <cellStyle name="표준 2 3 6 3 7" xfId="5969"/>
    <cellStyle name="표준 2 3 6 3 7 2" xfId="17217"/>
    <cellStyle name="표준 2 3 6 3 8" xfId="10853"/>
    <cellStyle name="표준 2 3 6 3 8 2" xfId="22101"/>
    <cellStyle name="표준 2 3 6 3 9" xfId="3507"/>
    <cellStyle name="표준 2 3 6 3 9 2" xfId="14779"/>
    <cellStyle name="표준 2 3 6 4" xfId="243"/>
    <cellStyle name="표준 2 3 6 4 10" xfId="11882"/>
    <cellStyle name="표준 2 3 6 4 2" xfId="527"/>
    <cellStyle name="표준 2 3 6 4 2 2" xfId="1615"/>
    <cellStyle name="표준 2 3 6 4 2 2 2" xfId="5434"/>
    <cellStyle name="표준 2 3 6 4 2 2 2 2" xfId="10311"/>
    <cellStyle name="표준 2 3 6 4 2 2 2 2 2" xfId="21559"/>
    <cellStyle name="표준 2 3 6 4 2 2 2 3" xfId="7873"/>
    <cellStyle name="표준 2 3 6 4 2 2 2 3 2" xfId="19121"/>
    <cellStyle name="표준 2 3 6 4 2 2 2 4" xfId="16683"/>
    <cellStyle name="표준 2 3 6 4 2 2 3" xfId="9321"/>
    <cellStyle name="표준 2 3 6 4 2 2 3 2" xfId="20569"/>
    <cellStyle name="표준 2 3 6 4 2 2 4" xfId="6883"/>
    <cellStyle name="표준 2 3 6 4 2 2 4 2" xfId="18131"/>
    <cellStyle name="표준 2 3 6 4 2 2 5" xfId="4442"/>
    <cellStyle name="표준 2 3 6 4 2 2 5 2" xfId="15693"/>
    <cellStyle name="표준 2 3 6 4 2 2 6" xfId="3227"/>
    <cellStyle name="표준 2 3 6 4 2 2 6 2" xfId="14505"/>
    <cellStyle name="표준 2 3 6 4 2 2 7" xfId="13045"/>
    <cellStyle name="표준 2 3 6 4 2 3" xfId="4981"/>
    <cellStyle name="표준 2 3 6 4 2 3 2" xfId="9858"/>
    <cellStyle name="표준 2 3 6 4 2 3 2 2" xfId="21106"/>
    <cellStyle name="표준 2 3 6 4 2 3 3" xfId="7420"/>
    <cellStyle name="표준 2 3 6 4 2 3 3 2" xfId="18668"/>
    <cellStyle name="표준 2 3 6 4 2 3 4" xfId="16230"/>
    <cellStyle name="표준 2 3 6 4 2 4" xfId="8868"/>
    <cellStyle name="표준 2 3 6 4 2 4 2" xfId="20116"/>
    <cellStyle name="표준 2 3 6 4 2 5" xfId="6430"/>
    <cellStyle name="표준 2 3 6 4 2 5 2" xfId="17678"/>
    <cellStyle name="표준 2 3 6 4 2 6" xfId="3989"/>
    <cellStyle name="표준 2 3 6 4 2 6 2" xfId="15240"/>
    <cellStyle name="표준 2 3 6 4 2 7" xfId="2199"/>
    <cellStyle name="표준 2 3 6 4 2 7 2" xfId="13626"/>
    <cellStyle name="표준 2 3 6 4 2 8" xfId="12166"/>
    <cellStyle name="표준 2 3 6 4 3" xfId="1230"/>
    <cellStyle name="표준 2 3 6 4 3 2" xfId="5207"/>
    <cellStyle name="표준 2 3 6 4 3 2 2" xfId="10084"/>
    <cellStyle name="표준 2 3 6 4 3 2 2 2" xfId="21332"/>
    <cellStyle name="표준 2 3 6 4 3 2 3" xfId="7646"/>
    <cellStyle name="표준 2 3 6 4 3 2 3 2" xfId="18894"/>
    <cellStyle name="표준 2 3 6 4 3 2 4" xfId="16456"/>
    <cellStyle name="표준 2 3 6 4 3 3" xfId="9094"/>
    <cellStyle name="표준 2 3 6 4 3 3 2" xfId="20342"/>
    <cellStyle name="표준 2 3 6 4 3 4" xfId="6656"/>
    <cellStyle name="표준 2 3 6 4 3 4 2" xfId="17904"/>
    <cellStyle name="표준 2 3 6 4 3 5" xfId="4215"/>
    <cellStyle name="표준 2 3 6 4 3 5 2" xfId="15466"/>
    <cellStyle name="표준 2 3 6 4 3 6" xfId="2851"/>
    <cellStyle name="표준 2 3 6 4 3 6 2" xfId="14129"/>
    <cellStyle name="표준 2 3 6 4 3 7" xfId="12669"/>
    <cellStyle name="표준 2 3 6 4 4" xfId="4755"/>
    <cellStyle name="표준 2 3 6 4 4 2" xfId="9632"/>
    <cellStyle name="표준 2 3 6 4 4 2 2" xfId="20880"/>
    <cellStyle name="표준 2 3 6 4 4 3" xfId="7194"/>
    <cellStyle name="표준 2 3 6 4 4 3 2" xfId="18442"/>
    <cellStyle name="표준 2 3 6 4 4 4" xfId="16004"/>
    <cellStyle name="표준 2 3 6 4 5" xfId="8642"/>
    <cellStyle name="표준 2 3 6 4 5 2" xfId="19890"/>
    <cellStyle name="표준 2 3 6 4 6" xfId="6204"/>
    <cellStyle name="표준 2 3 6 4 6 2" xfId="17452"/>
    <cellStyle name="표준 2 3 6 4 7" xfId="10955"/>
    <cellStyle name="표준 2 3 6 4 7 2" xfId="22202"/>
    <cellStyle name="표준 2 3 6 4 8" xfId="3763"/>
    <cellStyle name="표준 2 3 6 4 8 2" xfId="15014"/>
    <cellStyle name="표준 2 3 6 4 9" xfId="1915"/>
    <cellStyle name="표준 2 3 6 4 9 2" xfId="13342"/>
    <cellStyle name="표준 2 3 6 5" xfId="417"/>
    <cellStyle name="표준 2 3 6 5 2" xfId="1515"/>
    <cellStyle name="표준 2 3 6 5 2 2" xfId="5303"/>
    <cellStyle name="표준 2 3 6 5 2 2 2" xfId="10180"/>
    <cellStyle name="표준 2 3 6 5 2 2 2 2" xfId="21428"/>
    <cellStyle name="표준 2 3 6 5 2 2 3" xfId="7742"/>
    <cellStyle name="표준 2 3 6 5 2 2 3 2" xfId="18990"/>
    <cellStyle name="표준 2 3 6 5 2 2 4" xfId="16552"/>
    <cellStyle name="표준 2 3 6 5 2 3" xfId="9190"/>
    <cellStyle name="표준 2 3 6 5 2 3 2" xfId="20438"/>
    <cellStyle name="표준 2 3 6 5 2 4" xfId="6752"/>
    <cellStyle name="표준 2 3 6 5 2 4 2" xfId="18000"/>
    <cellStyle name="표준 2 3 6 5 2 5" xfId="4311"/>
    <cellStyle name="표준 2 3 6 5 2 5 2" xfId="15562"/>
    <cellStyle name="표준 2 3 6 5 2 6" xfId="3127"/>
    <cellStyle name="표준 2 3 6 5 2 6 2" xfId="14405"/>
    <cellStyle name="표준 2 3 6 5 2 7" xfId="12945"/>
    <cellStyle name="표준 2 3 6 5 3" xfId="1120"/>
    <cellStyle name="표준 2 3 6 5 3 2" xfId="9727"/>
    <cellStyle name="표준 2 3 6 5 3 2 2" xfId="20975"/>
    <cellStyle name="표준 2 3 6 5 3 3" xfId="7289"/>
    <cellStyle name="표준 2 3 6 5 3 3 2" xfId="18537"/>
    <cellStyle name="표준 2 3 6 5 3 4" xfId="4850"/>
    <cellStyle name="표준 2 3 6 5 3 4 2" xfId="16099"/>
    <cellStyle name="표준 2 3 6 5 3 5" xfId="2741"/>
    <cellStyle name="표준 2 3 6 5 3 5 2" xfId="14019"/>
    <cellStyle name="표준 2 3 6 5 3 6" xfId="12559"/>
    <cellStyle name="표준 2 3 6 5 4" xfId="8737"/>
    <cellStyle name="표준 2 3 6 5 4 2" xfId="19985"/>
    <cellStyle name="표준 2 3 6 5 5" xfId="6299"/>
    <cellStyle name="표준 2 3 6 5 5 2" xfId="17547"/>
    <cellStyle name="표준 2 3 6 5 6" xfId="3858"/>
    <cellStyle name="표준 2 3 6 5 6 2" xfId="15109"/>
    <cellStyle name="표준 2 3 6 5 7" xfId="2089"/>
    <cellStyle name="표준 2 3 6 5 7 2" xfId="13516"/>
    <cellStyle name="표준 2 3 6 5 8" xfId="12056"/>
    <cellStyle name="표준 2 3 6 6" xfId="339"/>
    <cellStyle name="표준 2 3 6 6 2" xfId="1726"/>
    <cellStyle name="표준 2 3 6 6 2 2" xfId="9953"/>
    <cellStyle name="표준 2 3 6 6 2 2 2" xfId="21201"/>
    <cellStyle name="표준 2 3 6 6 2 3" xfId="7515"/>
    <cellStyle name="표준 2 3 6 6 2 3 2" xfId="18763"/>
    <cellStyle name="표준 2 3 6 6 2 4" xfId="5076"/>
    <cellStyle name="표준 2 3 6 6 2 4 2" xfId="16325"/>
    <cellStyle name="표준 2 3 6 6 2 5" xfId="3338"/>
    <cellStyle name="표준 2 3 6 6 2 5 2" xfId="14616"/>
    <cellStyle name="표준 2 3 6 6 2 6" xfId="13156"/>
    <cellStyle name="표준 2 3 6 6 3" xfId="1344"/>
    <cellStyle name="표준 2 3 6 6 3 2" xfId="8963"/>
    <cellStyle name="표준 2 3 6 6 3 2 2" xfId="20211"/>
    <cellStyle name="표준 2 3 6 6 3 3" xfId="2965"/>
    <cellStyle name="표준 2 3 6 6 3 3 2" xfId="14243"/>
    <cellStyle name="표준 2 3 6 6 3 4" xfId="12783"/>
    <cellStyle name="표준 2 3 6 6 4" xfId="6525"/>
    <cellStyle name="표준 2 3 6 6 4 2" xfId="17773"/>
    <cellStyle name="표준 2 3 6 6 5" xfId="4084"/>
    <cellStyle name="표준 2 3 6 6 5 2" xfId="15335"/>
    <cellStyle name="표준 2 3 6 6 6" xfId="2011"/>
    <cellStyle name="표준 2 3 6 6 6 2" xfId="13438"/>
    <cellStyle name="표준 2 3 6 6 7" xfId="11978"/>
    <cellStyle name="표준 2 3 6 7" xfId="638"/>
    <cellStyle name="표준 2 3 6 7 2" xfId="1434"/>
    <cellStyle name="표준 2 3 6 7 2 2" xfId="10405"/>
    <cellStyle name="표준 2 3 6 7 2 2 2" xfId="21653"/>
    <cellStyle name="표준 2 3 6 7 2 3" xfId="7967"/>
    <cellStyle name="표준 2 3 6 7 2 3 2" xfId="19215"/>
    <cellStyle name="표준 2 3 6 7 2 4" xfId="5528"/>
    <cellStyle name="표준 2 3 6 7 2 4 2" xfId="16777"/>
    <cellStyle name="표준 2 3 6 7 2 5" xfId="3048"/>
    <cellStyle name="표준 2 3 6 7 2 5 2" xfId="14326"/>
    <cellStyle name="표준 2 3 6 7 2 6" xfId="12866"/>
    <cellStyle name="표준 2 3 6 7 3" xfId="9415"/>
    <cellStyle name="표준 2 3 6 7 3 2" xfId="20663"/>
    <cellStyle name="표준 2 3 6 7 4" xfId="6977"/>
    <cellStyle name="표준 2 3 6 7 4 2" xfId="18225"/>
    <cellStyle name="표준 2 3 6 7 5" xfId="4538"/>
    <cellStyle name="표준 2 3 6 7 5 2" xfId="15787"/>
    <cellStyle name="표준 2 3 6 7 6" xfId="2309"/>
    <cellStyle name="표준 2 3 6 7 6 2" xfId="13724"/>
    <cellStyle name="표준 2 3 6 7 7" xfId="12264"/>
    <cellStyle name="표준 2 3 6 8" xfId="1042"/>
    <cellStyle name="표준 2 3 6 8 2" xfId="9501"/>
    <cellStyle name="표준 2 3 6 8 2 2" xfId="20749"/>
    <cellStyle name="표준 2 3 6 8 3" xfId="7063"/>
    <cellStyle name="표준 2 3 6 8 3 2" xfId="18311"/>
    <cellStyle name="표준 2 3 6 8 4" xfId="4624"/>
    <cellStyle name="표준 2 3 6 8 4 2" xfId="15873"/>
    <cellStyle name="표준 2 3 6 8 5" xfId="2663"/>
    <cellStyle name="표준 2 3 6 8 5 2" xfId="13941"/>
    <cellStyle name="표준 2 3 6 8 6" xfId="12481"/>
    <cellStyle name="표준 2 3 6 9" xfId="979"/>
    <cellStyle name="표준 2 3 6 9 2" xfId="10489"/>
    <cellStyle name="표준 2 3 6 9 2 2" xfId="21737"/>
    <cellStyle name="표준 2 3 6 9 3" xfId="8051"/>
    <cellStyle name="표준 2 3 6 9 3 2" xfId="19299"/>
    <cellStyle name="표준 2 3 6 9 4" xfId="5612"/>
    <cellStyle name="표준 2 3 6 9 4 2" xfId="16861"/>
    <cellStyle name="표준 2 3 6 9 5" xfId="2600"/>
    <cellStyle name="표준 2 3 6 9 5 2" xfId="13878"/>
    <cellStyle name="표준 2 3 6 9 6" xfId="12418"/>
    <cellStyle name="표준 2 3 7" xfId="169"/>
    <cellStyle name="표준 2 3 7 10" xfId="3606"/>
    <cellStyle name="표준 2 3 7 10 2" xfId="8505"/>
    <cellStyle name="표준 2 3 7 10 2 2" xfId="19753"/>
    <cellStyle name="표준 2 3 7 10 3" xfId="6067"/>
    <cellStyle name="표준 2 3 7 10 3 2" xfId="17315"/>
    <cellStyle name="표준 2 3 7 10 4" xfId="14877"/>
    <cellStyle name="표준 2 3 7 11" xfId="8326"/>
    <cellStyle name="표준 2 3 7 11 2" xfId="19574"/>
    <cellStyle name="표준 2 3 7 12" xfId="5888"/>
    <cellStyle name="표준 2 3 7 12 2" xfId="17136"/>
    <cellStyle name="표준 2 3 7 13" xfId="10772"/>
    <cellStyle name="표준 2 3 7 13 2" xfId="22020"/>
    <cellStyle name="표준 2 3 7 14" xfId="3420"/>
    <cellStyle name="표준 2 3 7 14 2" xfId="14698"/>
    <cellStyle name="표준 2 3 7 15" xfId="1843"/>
    <cellStyle name="표준 2 3 7 15 2" xfId="13270"/>
    <cellStyle name="표준 2 3 7 16" xfId="11810"/>
    <cellStyle name="표준 2 3 7 2" xfId="281"/>
    <cellStyle name="표준 2 3 7 2 10" xfId="1953"/>
    <cellStyle name="표준 2 3 7 2 10 2" xfId="13380"/>
    <cellStyle name="표준 2 3 7 2 11" xfId="11920"/>
    <cellStyle name="표준 2 3 7 2 2" xfId="565"/>
    <cellStyle name="표준 2 3 7 2 2 2" xfId="1653"/>
    <cellStyle name="표준 2 3 7 2 2 2 2" xfId="5436"/>
    <cellStyle name="표준 2 3 7 2 2 2 2 2" xfId="10313"/>
    <cellStyle name="표준 2 3 7 2 2 2 2 2 2" xfId="21561"/>
    <cellStyle name="표준 2 3 7 2 2 2 2 3" xfId="7875"/>
    <cellStyle name="표준 2 3 7 2 2 2 2 3 2" xfId="19123"/>
    <cellStyle name="표준 2 3 7 2 2 2 2 4" xfId="16685"/>
    <cellStyle name="표준 2 3 7 2 2 2 3" xfId="9323"/>
    <cellStyle name="표준 2 3 7 2 2 2 3 2" xfId="20571"/>
    <cellStyle name="표준 2 3 7 2 2 2 4" xfId="6885"/>
    <cellStyle name="표준 2 3 7 2 2 2 4 2" xfId="18133"/>
    <cellStyle name="표준 2 3 7 2 2 2 5" xfId="4444"/>
    <cellStyle name="표준 2 3 7 2 2 2 5 2" xfId="15695"/>
    <cellStyle name="표준 2 3 7 2 2 2 6" xfId="3265"/>
    <cellStyle name="표준 2 3 7 2 2 2 6 2" xfId="14543"/>
    <cellStyle name="표준 2 3 7 2 2 2 7" xfId="13083"/>
    <cellStyle name="표준 2 3 7 2 2 3" xfId="4983"/>
    <cellStyle name="표준 2 3 7 2 2 3 2" xfId="9860"/>
    <cellStyle name="표준 2 3 7 2 2 3 2 2" xfId="21108"/>
    <cellStyle name="표준 2 3 7 2 2 3 3" xfId="7422"/>
    <cellStyle name="표준 2 3 7 2 2 3 3 2" xfId="18670"/>
    <cellStyle name="표준 2 3 7 2 2 3 4" xfId="16232"/>
    <cellStyle name="표준 2 3 7 2 2 4" xfId="8870"/>
    <cellStyle name="표준 2 3 7 2 2 4 2" xfId="20118"/>
    <cellStyle name="표준 2 3 7 2 2 5" xfId="6432"/>
    <cellStyle name="표준 2 3 7 2 2 5 2" xfId="17680"/>
    <cellStyle name="표준 2 3 7 2 2 6" xfId="11040"/>
    <cellStyle name="표준 2 3 7 2 2 6 2" xfId="22287"/>
    <cellStyle name="표준 2 3 7 2 2 7" xfId="3991"/>
    <cellStyle name="표준 2 3 7 2 2 7 2" xfId="15242"/>
    <cellStyle name="표준 2 3 7 2 2 8" xfId="2237"/>
    <cellStyle name="표준 2 3 7 2 2 8 2" xfId="13664"/>
    <cellStyle name="표준 2 3 7 2 2 9" xfId="12204"/>
    <cellStyle name="표준 2 3 7 2 3" xfId="783"/>
    <cellStyle name="표준 2 3 7 2 3 2" xfId="5209"/>
    <cellStyle name="표준 2 3 7 2 3 2 2" xfId="10086"/>
    <cellStyle name="표준 2 3 7 2 3 2 2 2" xfId="21334"/>
    <cellStyle name="표준 2 3 7 2 3 2 3" xfId="7648"/>
    <cellStyle name="표준 2 3 7 2 3 2 3 2" xfId="18896"/>
    <cellStyle name="표준 2 3 7 2 3 2 4" xfId="16458"/>
    <cellStyle name="표준 2 3 7 2 3 3" xfId="9096"/>
    <cellStyle name="표준 2 3 7 2 3 3 2" xfId="20344"/>
    <cellStyle name="표준 2 3 7 2 3 4" xfId="6658"/>
    <cellStyle name="표준 2 3 7 2 3 4 2" xfId="17906"/>
    <cellStyle name="표준 2 3 7 2 3 5" xfId="4217"/>
    <cellStyle name="표준 2 3 7 2 3 5 2" xfId="15468"/>
    <cellStyle name="표준 2 3 7 2 3 6" xfId="2410"/>
    <cellStyle name="표준 2 3 7 2 3 6 2" xfId="13805"/>
    <cellStyle name="표준 2 3 7 2 3 7" xfId="12345"/>
    <cellStyle name="표준 2 3 7 2 4" xfId="1268"/>
    <cellStyle name="표준 2 3 7 2 4 2" xfId="9634"/>
    <cellStyle name="표준 2 3 7 2 4 2 2" xfId="20882"/>
    <cellStyle name="표준 2 3 7 2 4 3" xfId="7196"/>
    <cellStyle name="표준 2 3 7 2 4 3 2" xfId="18444"/>
    <cellStyle name="표준 2 3 7 2 4 4" xfId="4757"/>
    <cellStyle name="표준 2 3 7 2 4 4 2" xfId="16006"/>
    <cellStyle name="표준 2 3 7 2 4 5" xfId="2889"/>
    <cellStyle name="표준 2 3 7 2 4 5 2" xfId="14167"/>
    <cellStyle name="표준 2 3 7 2 4 6" xfId="12707"/>
    <cellStyle name="표준 2 3 7 2 5" xfId="3765"/>
    <cellStyle name="표준 2 3 7 2 5 2" xfId="8644"/>
    <cellStyle name="표준 2 3 7 2 5 2 2" xfId="19892"/>
    <cellStyle name="표준 2 3 7 2 5 3" xfId="6206"/>
    <cellStyle name="표준 2 3 7 2 5 3 2" xfId="17454"/>
    <cellStyle name="표준 2 3 7 2 5 4" xfId="15016"/>
    <cellStyle name="표준 2 3 7 2 6" xfId="8409"/>
    <cellStyle name="표준 2 3 7 2 6 2" xfId="19657"/>
    <cellStyle name="표준 2 3 7 2 7" xfId="5971"/>
    <cellStyle name="표준 2 3 7 2 7 2" xfId="17219"/>
    <cellStyle name="표준 2 3 7 2 8" xfId="10855"/>
    <cellStyle name="표준 2 3 7 2 8 2" xfId="22103"/>
    <cellStyle name="표준 2 3 7 2 9" xfId="3509"/>
    <cellStyle name="표준 2 3 7 2 9 2" xfId="14781"/>
    <cellStyle name="표준 2 3 7 3" xfId="455"/>
    <cellStyle name="표준 2 3 7 3 2" xfId="1548"/>
    <cellStyle name="표준 2 3 7 3 2 2" xfId="5350"/>
    <cellStyle name="표준 2 3 7 3 2 2 2" xfId="10227"/>
    <cellStyle name="표준 2 3 7 3 2 2 2 2" xfId="21475"/>
    <cellStyle name="표준 2 3 7 3 2 2 3" xfId="7789"/>
    <cellStyle name="표준 2 3 7 3 2 2 3 2" xfId="19037"/>
    <cellStyle name="표준 2 3 7 3 2 2 4" xfId="16599"/>
    <cellStyle name="표준 2 3 7 3 2 3" xfId="9237"/>
    <cellStyle name="표준 2 3 7 3 2 3 2" xfId="20485"/>
    <cellStyle name="표준 2 3 7 3 2 4" xfId="6799"/>
    <cellStyle name="표준 2 3 7 3 2 4 2" xfId="18047"/>
    <cellStyle name="표준 2 3 7 3 2 5" xfId="4358"/>
    <cellStyle name="표준 2 3 7 3 2 5 2" xfId="15609"/>
    <cellStyle name="표준 2 3 7 3 2 6" xfId="3160"/>
    <cellStyle name="표준 2 3 7 3 2 6 2" xfId="14438"/>
    <cellStyle name="표준 2 3 7 3 2 7" xfId="12978"/>
    <cellStyle name="표준 2 3 7 3 3" xfId="1158"/>
    <cellStyle name="표준 2 3 7 3 3 2" xfId="9774"/>
    <cellStyle name="표준 2 3 7 3 3 2 2" xfId="21022"/>
    <cellStyle name="표준 2 3 7 3 3 3" xfId="7336"/>
    <cellStyle name="표준 2 3 7 3 3 3 2" xfId="18584"/>
    <cellStyle name="표준 2 3 7 3 3 4" xfId="4897"/>
    <cellStyle name="표준 2 3 7 3 3 4 2" xfId="16146"/>
    <cellStyle name="표준 2 3 7 3 3 5" xfId="2779"/>
    <cellStyle name="표준 2 3 7 3 3 5 2" xfId="14057"/>
    <cellStyle name="표준 2 3 7 3 3 6" xfId="12597"/>
    <cellStyle name="표준 2 3 7 3 4" xfId="8784"/>
    <cellStyle name="표준 2 3 7 3 4 2" xfId="20032"/>
    <cellStyle name="표준 2 3 7 3 5" xfId="6346"/>
    <cellStyle name="표준 2 3 7 3 5 2" xfId="17594"/>
    <cellStyle name="표준 2 3 7 3 6" xfId="10957"/>
    <cellStyle name="표준 2 3 7 3 6 2" xfId="22204"/>
    <cellStyle name="표준 2 3 7 3 7" xfId="3905"/>
    <cellStyle name="표준 2 3 7 3 7 2" xfId="15156"/>
    <cellStyle name="표준 2 3 7 3 8" xfId="2127"/>
    <cellStyle name="표준 2 3 7 3 8 2" xfId="13554"/>
    <cellStyle name="표준 2 3 7 3 9" xfId="12094"/>
    <cellStyle name="표준 2 3 7 4" xfId="345"/>
    <cellStyle name="표준 2 3 7 4 2" xfId="1728"/>
    <cellStyle name="표준 2 3 7 4 2 2" xfId="10000"/>
    <cellStyle name="표준 2 3 7 4 2 2 2" xfId="21248"/>
    <cellStyle name="표준 2 3 7 4 2 3" xfId="7562"/>
    <cellStyle name="표준 2 3 7 4 2 3 2" xfId="18810"/>
    <cellStyle name="표준 2 3 7 4 2 4" xfId="5123"/>
    <cellStyle name="표준 2 3 7 4 2 4 2" xfId="16372"/>
    <cellStyle name="표준 2 3 7 4 2 5" xfId="3340"/>
    <cellStyle name="표준 2 3 7 4 2 5 2" xfId="14618"/>
    <cellStyle name="표준 2 3 7 4 2 6" xfId="13158"/>
    <cellStyle name="표준 2 3 7 4 3" xfId="1346"/>
    <cellStyle name="표준 2 3 7 4 3 2" xfId="9010"/>
    <cellStyle name="표준 2 3 7 4 3 2 2" xfId="20258"/>
    <cellStyle name="표준 2 3 7 4 3 3" xfId="2967"/>
    <cellStyle name="표준 2 3 7 4 3 3 2" xfId="14245"/>
    <cellStyle name="표준 2 3 7 4 3 4" xfId="12785"/>
    <cellStyle name="표준 2 3 7 4 4" xfId="6572"/>
    <cellStyle name="표준 2 3 7 4 4 2" xfId="17820"/>
    <cellStyle name="표준 2 3 7 4 5" xfId="4131"/>
    <cellStyle name="표준 2 3 7 4 5 2" xfId="15382"/>
    <cellStyle name="표준 2 3 7 4 6" xfId="2017"/>
    <cellStyle name="표준 2 3 7 4 6 2" xfId="13444"/>
    <cellStyle name="표준 2 3 7 4 7" xfId="11984"/>
    <cellStyle name="표준 2 3 7 5" xfId="686"/>
    <cellStyle name="표준 2 3 7 5 2" xfId="1436"/>
    <cellStyle name="표준 2 3 7 5 2 2" xfId="10407"/>
    <cellStyle name="표준 2 3 7 5 2 2 2" xfId="21655"/>
    <cellStyle name="표준 2 3 7 5 2 3" xfId="7969"/>
    <cellStyle name="표준 2 3 7 5 2 3 2" xfId="19217"/>
    <cellStyle name="표준 2 3 7 5 2 4" xfId="5530"/>
    <cellStyle name="표준 2 3 7 5 2 4 2" xfId="16779"/>
    <cellStyle name="표준 2 3 7 5 2 5" xfId="3050"/>
    <cellStyle name="표준 2 3 7 5 2 5 2" xfId="14328"/>
    <cellStyle name="표준 2 3 7 5 2 6" xfId="12868"/>
    <cellStyle name="표준 2 3 7 5 3" xfId="9417"/>
    <cellStyle name="표준 2 3 7 5 3 2" xfId="20665"/>
    <cellStyle name="표준 2 3 7 5 4" xfId="6979"/>
    <cellStyle name="표준 2 3 7 5 4 2" xfId="18227"/>
    <cellStyle name="표준 2 3 7 5 5" xfId="4540"/>
    <cellStyle name="표준 2 3 7 5 5 2" xfId="15789"/>
    <cellStyle name="표준 2 3 7 5 6" xfId="2318"/>
    <cellStyle name="표준 2 3 7 5 6 2" xfId="13731"/>
    <cellStyle name="표준 2 3 7 5 7" xfId="12271"/>
    <cellStyle name="표준 2 3 7 6" xfId="1048"/>
    <cellStyle name="표준 2 3 7 6 2" xfId="9548"/>
    <cellStyle name="표준 2 3 7 6 2 2" xfId="20796"/>
    <cellStyle name="표준 2 3 7 6 3" xfId="7110"/>
    <cellStyle name="표준 2 3 7 6 3 2" xfId="18358"/>
    <cellStyle name="표준 2 3 7 6 4" xfId="4671"/>
    <cellStyle name="표준 2 3 7 6 4 2" xfId="15920"/>
    <cellStyle name="표준 2 3 7 6 5" xfId="2669"/>
    <cellStyle name="표준 2 3 7 6 5 2" xfId="13947"/>
    <cellStyle name="표준 2 3 7 6 6" xfId="12487"/>
    <cellStyle name="표준 2 3 7 7" xfId="984"/>
    <cellStyle name="표준 2 3 7 7 2" xfId="10491"/>
    <cellStyle name="표준 2 3 7 7 2 2" xfId="21739"/>
    <cellStyle name="표준 2 3 7 7 3" xfId="8053"/>
    <cellStyle name="표준 2 3 7 7 3 2" xfId="19301"/>
    <cellStyle name="표준 2 3 7 7 4" xfId="5614"/>
    <cellStyle name="표준 2 3 7 7 4 2" xfId="16863"/>
    <cellStyle name="표준 2 3 7 7 5" xfId="2605"/>
    <cellStyle name="표준 2 3 7 7 5 2" xfId="13883"/>
    <cellStyle name="표준 2 3 7 7 6" xfId="12423"/>
    <cellStyle name="표준 2 3 7 8" xfId="5720"/>
    <cellStyle name="표준 2 3 7 8 2" xfId="10597"/>
    <cellStyle name="표준 2 3 7 8 2 2" xfId="21845"/>
    <cellStyle name="표준 2 3 7 8 3" xfId="8159"/>
    <cellStyle name="표준 2 3 7 8 3 2" xfId="19407"/>
    <cellStyle name="표준 2 3 7 8 4" xfId="16969"/>
    <cellStyle name="표준 2 3 7 9" xfId="5803"/>
    <cellStyle name="표준 2 3 7 9 2" xfId="10680"/>
    <cellStyle name="표준 2 3 7 9 2 2" xfId="21928"/>
    <cellStyle name="표준 2 3 7 9 3" xfId="8242"/>
    <cellStyle name="표준 2 3 7 9 3 2" xfId="19490"/>
    <cellStyle name="표준 2 3 7 9 4" xfId="17052"/>
    <cellStyle name="표준 2 3 8" xfId="199"/>
    <cellStyle name="표준 2 3 8 10" xfId="3607"/>
    <cellStyle name="표준 2 3 8 10 2" xfId="8506"/>
    <cellStyle name="표준 2 3 8 10 2 2" xfId="19754"/>
    <cellStyle name="표준 2 3 8 10 3" xfId="6068"/>
    <cellStyle name="표준 2 3 8 10 3 2" xfId="17316"/>
    <cellStyle name="표준 2 3 8 10 4" xfId="14878"/>
    <cellStyle name="표준 2 3 8 11" xfId="8327"/>
    <cellStyle name="표준 2 3 8 11 2" xfId="19575"/>
    <cellStyle name="표준 2 3 8 12" xfId="5889"/>
    <cellStyle name="표준 2 3 8 12 2" xfId="17137"/>
    <cellStyle name="표준 2 3 8 13" xfId="10773"/>
    <cellStyle name="표준 2 3 8 13 2" xfId="22021"/>
    <cellStyle name="표준 2 3 8 14" xfId="3421"/>
    <cellStyle name="표준 2 3 8 14 2" xfId="14699"/>
    <cellStyle name="표준 2 3 8 15" xfId="1872"/>
    <cellStyle name="표준 2 3 8 15 2" xfId="13299"/>
    <cellStyle name="표준 2 3 8 16" xfId="11839"/>
    <cellStyle name="표준 2 3 8 2" xfId="310"/>
    <cellStyle name="표준 2 3 8 2 10" xfId="1982"/>
    <cellStyle name="표준 2 3 8 2 10 2" xfId="13409"/>
    <cellStyle name="표준 2 3 8 2 11" xfId="11949"/>
    <cellStyle name="표준 2 3 8 2 2" xfId="594"/>
    <cellStyle name="표준 2 3 8 2 2 2" xfId="1682"/>
    <cellStyle name="표준 2 3 8 2 2 2 2" xfId="5437"/>
    <cellStyle name="표준 2 3 8 2 2 2 2 2" xfId="10314"/>
    <cellStyle name="표준 2 3 8 2 2 2 2 2 2" xfId="21562"/>
    <cellStyle name="표준 2 3 8 2 2 2 2 3" xfId="7876"/>
    <cellStyle name="표준 2 3 8 2 2 2 2 3 2" xfId="19124"/>
    <cellStyle name="표준 2 3 8 2 2 2 2 4" xfId="16686"/>
    <cellStyle name="표준 2 3 8 2 2 2 3" xfId="9324"/>
    <cellStyle name="표준 2 3 8 2 2 2 3 2" xfId="20572"/>
    <cellStyle name="표준 2 3 8 2 2 2 4" xfId="6886"/>
    <cellStyle name="표준 2 3 8 2 2 2 4 2" xfId="18134"/>
    <cellStyle name="표준 2 3 8 2 2 2 5" xfId="4445"/>
    <cellStyle name="표준 2 3 8 2 2 2 5 2" xfId="15696"/>
    <cellStyle name="표준 2 3 8 2 2 2 6" xfId="3294"/>
    <cellStyle name="표준 2 3 8 2 2 2 6 2" xfId="14572"/>
    <cellStyle name="표준 2 3 8 2 2 2 7" xfId="13112"/>
    <cellStyle name="표준 2 3 8 2 2 3" xfId="4984"/>
    <cellStyle name="표준 2 3 8 2 2 3 2" xfId="9861"/>
    <cellStyle name="표준 2 3 8 2 2 3 2 2" xfId="21109"/>
    <cellStyle name="표준 2 3 8 2 2 3 3" xfId="7423"/>
    <cellStyle name="표준 2 3 8 2 2 3 3 2" xfId="18671"/>
    <cellStyle name="표준 2 3 8 2 2 3 4" xfId="16233"/>
    <cellStyle name="표준 2 3 8 2 2 4" xfId="8871"/>
    <cellStyle name="표준 2 3 8 2 2 4 2" xfId="20119"/>
    <cellStyle name="표준 2 3 8 2 2 5" xfId="6433"/>
    <cellStyle name="표준 2 3 8 2 2 5 2" xfId="17681"/>
    <cellStyle name="표준 2 3 8 2 2 6" xfId="11041"/>
    <cellStyle name="표준 2 3 8 2 2 6 2" xfId="22288"/>
    <cellStyle name="표준 2 3 8 2 2 7" xfId="3992"/>
    <cellStyle name="표준 2 3 8 2 2 7 2" xfId="15243"/>
    <cellStyle name="표준 2 3 8 2 2 8" xfId="2266"/>
    <cellStyle name="표준 2 3 8 2 2 8 2" xfId="13693"/>
    <cellStyle name="표준 2 3 8 2 2 9" xfId="12233"/>
    <cellStyle name="표준 2 3 8 2 3" xfId="1297"/>
    <cellStyle name="표준 2 3 8 2 3 2" xfId="5210"/>
    <cellStyle name="표준 2 3 8 2 3 2 2" xfId="10087"/>
    <cellStyle name="표준 2 3 8 2 3 2 2 2" xfId="21335"/>
    <cellStyle name="표준 2 3 8 2 3 2 3" xfId="7649"/>
    <cellStyle name="표준 2 3 8 2 3 2 3 2" xfId="18897"/>
    <cellStyle name="표준 2 3 8 2 3 2 4" xfId="16459"/>
    <cellStyle name="표준 2 3 8 2 3 3" xfId="9097"/>
    <cellStyle name="표준 2 3 8 2 3 3 2" xfId="20345"/>
    <cellStyle name="표준 2 3 8 2 3 4" xfId="6659"/>
    <cellStyle name="표준 2 3 8 2 3 4 2" xfId="17907"/>
    <cellStyle name="표준 2 3 8 2 3 5" xfId="4218"/>
    <cellStyle name="표준 2 3 8 2 3 5 2" xfId="15469"/>
    <cellStyle name="표준 2 3 8 2 3 6" xfId="2918"/>
    <cellStyle name="표준 2 3 8 2 3 6 2" xfId="14196"/>
    <cellStyle name="표준 2 3 8 2 3 7" xfId="12736"/>
    <cellStyle name="표준 2 3 8 2 4" xfId="4758"/>
    <cellStyle name="표준 2 3 8 2 4 2" xfId="9635"/>
    <cellStyle name="표준 2 3 8 2 4 2 2" xfId="20883"/>
    <cellStyle name="표준 2 3 8 2 4 3" xfId="7197"/>
    <cellStyle name="표준 2 3 8 2 4 3 2" xfId="18445"/>
    <cellStyle name="표준 2 3 8 2 4 4" xfId="16007"/>
    <cellStyle name="표준 2 3 8 2 5" xfId="3766"/>
    <cellStyle name="표준 2 3 8 2 5 2" xfId="8645"/>
    <cellStyle name="표준 2 3 8 2 5 2 2" xfId="19893"/>
    <cellStyle name="표준 2 3 8 2 5 3" xfId="6207"/>
    <cellStyle name="표준 2 3 8 2 5 3 2" xfId="17455"/>
    <cellStyle name="표준 2 3 8 2 5 4" xfId="15017"/>
    <cellStyle name="표준 2 3 8 2 6" xfId="8410"/>
    <cellStyle name="표준 2 3 8 2 6 2" xfId="19658"/>
    <cellStyle name="표준 2 3 8 2 7" xfId="5972"/>
    <cellStyle name="표준 2 3 8 2 7 2" xfId="17220"/>
    <cellStyle name="표준 2 3 8 2 8" xfId="10856"/>
    <cellStyle name="표준 2 3 8 2 8 2" xfId="22104"/>
    <cellStyle name="표준 2 3 8 2 9" xfId="3510"/>
    <cellStyle name="표준 2 3 8 2 9 2" xfId="14782"/>
    <cellStyle name="표준 2 3 8 3" xfId="484"/>
    <cellStyle name="표준 2 3 8 3 2" xfId="1577"/>
    <cellStyle name="표준 2 3 8 3 2 2" xfId="5351"/>
    <cellStyle name="표준 2 3 8 3 2 2 2" xfId="10228"/>
    <cellStyle name="표준 2 3 8 3 2 2 2 2" xfId="21476"/>
    <cellStyle name="표준 2 3 8 3 2 2 3" xfId="7790"/>
    <cellStyle name="표준 2 3 8 3 2 2 3 2" xfId="19038"/>
    <cellStyle name="표준 2 3 8 3 2 2 4" xfId="16600"/>
    <cellStyle name="표준 2 3 8 3 2 3" xfId="9238"/>
    <cellStyle name="표준 2 3 8 3 2 3 2" xfId="20486"/>
    <cellStyle name="표준 2 3 8 3 2 4" xfId="6800"/>
    <cellStyle name="표준 2 3 8 3 2 4 2" xfId="18048"/>
    <cellStyle name="표준 2 3 8 3 2 5" xfId="4359"/>
    <cellStyle name="표준 2 3 8 3 2 5 2" xfId="15610"/>
    <cellStyle name="표준 2 3 8 3 2 6" xfId="3189"/>
    <cellStyle name="표준 2 3 8 3 2 6 2" xfId="14467"/>
    <cellStyle name="표준 2 3 8 3 2 7" xfId="13007"/>
    <cellStyle name="표준 2 3 8 3 3" xfId="1187"/>
    <cellStyle name="표준 2 3 8 3 3 2" xfId="9775"/>
    <cellStyle name="표준 2 3 8 3 3 2 2" xfId="21023"/>
    <cellStyle name="표준 2 3 8 3 3 3" xfId="7337"/>
    <cellStyle name="표준 2 3 8 3 3 3 2" xfId="18585"/>
    <cellStyle name="표준 2 3 8 3 3 4" xfId="4898"/>
    <cellStyle name="표준 2 3 8 3 3 4 2" xfId="16147"/>
    <cellStyle name="표준 2 3 8 3 3 5" xfId="2808"/>
    <cellStyle name="표준 2 3 8 3 3 5 2" xfId="14086"/>
    <cellStyle name="표준 2 3 8 3 3 6" xfId="12626"/>
    <cellStyle name="표준 2 3 8 3 4" xfId="8785"/>
    <cellStyle name="표준 2 3 8 3 4 2" xfId="20033"/>
    <cellStyle name="표준 2 3 8 3 5" xfId="6347"/>
    <cellStyle name="표준 2 3 8 3 5 2" xfId="17595"/>
    <cellStyle name="표준 2 3 8 3 6" xfId="10958"/>
    <cellStyle name="표준 2 3 8 3 6 2" xfId="22205"/>
    <cellStyle name="표준 2 3 8 3 7" xfId="3906"/>
    <cellStyle name="표준 2 3 8 3 7 2" xfId="15157"/>
    <cellStyle name="표준 2 3 8 3 8" xfId="2156"/>
    <cellStyle name="표준 2 3 8 3 8 2" xfId="13583"/>
    <cellStyle name="표준 2 3 8 3 9" xfId="12123"/>
    <cellStyle name="표준 2 3 8 4" xfId="374"/>
    <cellStyle name="표준 2 3 8 4 2" xfId="1729"/>
    <cellStyle name="표준 2 3 8 4 2 2" xfId="10001"/>
    <cellStyle name="표준 2 3 8 4 2 2 2" xfId="21249"/>
    <cellStyle name="표준 2 3 8 4 2 3" xfId="7563"/>
    <cellStyle name="표준 2 3 8 4 2 3 2" xfId="18811"/>
    <cellStyle name="표준 2 3 8 4 2 4" xfId="5124"/>
    <cellStyle name="표준 2 3 8 4 2 4 2" xfId="16373"/>
    <cellStyle name="표준 2 3 8 4 2 5" xfId="3341"/>
    <cellStyle name="표준 2 3 8 4 2 5 2" xfId="14619"/>
    <cellStyle name="표준 2 3 8 4 2 6" xfId="13159"/>
    <cellStyle name="표준 2 3 8 4 3" xfId="1347"/>
    <cellStyle name="표준 2 3 8 4 3 2" xfId="9011"/>
    <cellStyle name="표준 2 3 8 4 3 2 2" xfId="20259"/>
    <cellStyle name="표준 2 3 8 4 3 3" xfId="2968"/>
    <cellStyle name="표준 2 3 8 4 3 3 2" xfId="14246"/>
    <cellStyle name="표준 2 3 8 4 3 4" xfId="12786"/>
    <cellStyle name="표준 2 3 8 4 4" xfId="6573"/>
    <cellStyle name="표준 2 3 8 4 4 2" xfId="17821"/>
    <cellStyle name="표준 2 3 8 4 5" xfId="4132"/>
    <cellStyle name="표준 2 3 8 4 5 2" xfId="15383"/>
    <cellStyle name="표준 2 3 8 4 6" xfId="2046"/>
    <cellStyle name="표준 2 3 8 4 6 2" xfId="13473"/>
    <cellStyle name="표준 2 3 8 4 7" xfId="12013"/>
    <cellStyle name="표준 2 3 8 5" xfId="784"/>
    <cellStyle name="표준 2 3 8 5 2" xfId="1437"/>
    <cellStyle name="표준 2 3 8 5 2 2" xfId="10408"/>
    <cellStyle name="표준 2 3 8 5 2 2 2" xfId="21656"/>
    <cellStyle name="표준 2 3 8 5 2 3" xfId="7970"/>
    <cellStyle name="표준 2 3 8 5 2 3 2" xfId="19218"/>
    <cellStyle name="표준 2 3 8 5 2 4" xfId="5531"/>
    <cellStyle name="표준 2 3 8 5 2 4 2" xfId="16780"/>
    <cellStyle name="표준 2 3 8 5 2 5" xfId="3051"/>
    <cellStyle name="표준 2 3 8 5 2 5 2" xfId="14329"/>
    <cellStyle name="표준 2 3 8 5 2 6" xfId="12869"/>
    <cellStyle name="표준 2 3 8 5 3" xfId="9418"/>
    <cellStyle name="표준 2 3 8 5 3 2" xfId="20666"/>
    <cellStyle name="표준 2 3 8 5 4" xfId="6980"/>
    <cellStyle name="표준 2 3 8 5 4 2" xfId="18228"/>
    <cellStyle name="표준 2 3 8 5 5" xfId="4541"/>
    <cellStyle name="표준 2 3 8 5 5 2" xfId="15790"/>
    <cellStyle name="표준 2 3 8 5 6" xfId="2411"/>
    <cellStyle name="표준 2 3 8 5 6 2" xfId="13806"/>
    <cellStyle name="표준 2 3 8 5 7" xfId="12346"/>
    <cellStyle name="표준 2 3 8 6" xfId="1077"/>
    <cellStyle name="표준 2 3 8 6 2" xfId="9549"/>
    <cellStyle name="표준 2 3 8 6 2 2" xfId="20797"/>
    <cellStyle name="표준 2 3 8 6 3" xfId="7111"/>
    <cellStyle name="표준 2 3 8 6 3 2" xfId="18359"/>
    <cellStyle name="표준 2 3 8 6 4" xfId="4672"/>
    <cellStyle name="표준 2 3 8 6 4 2" xfId="15921"/>
    <cellStyle name="표준 2 3 8 6 5" xfId="2698"/>
    <cellStyle name="표준 2 3 8 6 5 2" xfId="13976"/>
    <cellStyle name="표준 2 3 8 6 6" xfId="12516"/>
    <cellStyle name="표준 2 3 8 7" xfId="1013"/>
    <cellStyle name="표준 2 3 8 7 2" xfId="10492"/>
    <cellStyle name="표준 2 3 8 7 2 2" xfId="21740"/>
    <cellStyle name="표준 2 3 8 7 3" xfId="8054"/>
    <cellStyle name="표준 2 3 8 7 3 2" xfId="19302"/>
    <cellStyle name="표준 2 3 8 7 4" xfId="5615"/>
    <cellStyle name="표준 2 3 8 7 4 2" xfId="16864"/>
    <cellStyle name="표준 2 3 8 7 5" xfId="2634"/>
    <cellStyle name="표준 2 3 8 7 5 2" xfId="13912"/>
    <cellStyle name="표준 2 3 8 7 6" xfId="12452"/>
    <cellStyle name="표준 2 3 8 8" xfId="5721"/>
    <cellStyle name="표준 2 3 8 8 2" xfId="10598"/>
    <cellStyle name="표준 2 3 8 8 2 2" xfId="21846"/>
    <cellStyle name="표준 2 3 8 8 3" xfId="8160"/>
    <cellStyle name="표준 2 3 8 8 3 2" xfId="19408"/>
    <cellStyle name="표준 2 3 8 8 4" xfId="16970"/>
    <cellStyle name="표준 2 3 8 9" xfId="5804"/>
    <cellStyle name="표준 2 3 8 9 2" xfId="10681"/>
    <cellStyle name="표준 2 3 8 9 2 2" xfId="21929"/>
    <cellStyle name="표준 2 3 8 9 3" xfId="8243"/>
    <cellStyle name="표준 2 3 8 9 3 2" xfId="19491"/>
    <cellStyle name="표준 2 3 8 9 4" xfId="17053"/>
    <cellStyle name="표준 2 3 9" xfId="95"/>
    <cellStyle name="표준 2 3 9 10" xfId="3592"/>
    <cellStyle name="표준 2 3 9 10 2" xfId="8491"/>
    <cellStyle name="표준 2 3 9 10 2 2" xfId="19739"/>
    <cellStyle name="표준 2 3 9 10 3" xfId="6053"/>
    <cellStyle name="표준 2 3 9 10 3 2" xfId="17301"/>
    <cellStyle name="표준 2 3 9 10 4" xfId="14863"/>
    <cellStyle name="표준 2 3 9 11" xfId="8312"/>
    <cellStyle name="표준 2 3 9 11 2" xfId="19560"/>
    <cellStyle name="표준 2 3 9 12" xfId="5874"/>
    <cellStyle name="표준 2 3 9 12 2" xfId="17122"/>
    <cellStyle name="표준 2 3 9 13" xfId="10758"/>
    <cellStyle name="표준 2 3 9 13 2" xfId="22006"/>
    <cellStyle name="표준 2 3 9 14" xfId="3406"/>
    <cellStyle name="표준 2 3 9 14 2" xfId="14684"/>
    <cellStyle name="표준 2 3 9 15" xfId="1811"/>
    <cellStyle name="표준 2 3 9 15 2" xfId="13240"/>
    <cellStyle name="표준 2 3 9 16" xfId="11780"/>
    <cellStyle name="표준 2 3 9 2" xfId="251"/>
    <cellStyle name="표준 2 3 9 2 10" xfId="1923"/>
    <cellStyle name="표준 2 3 9 2 10 2" xfId="13350"/>
    <cellStyle name="표준 2 3 9 2 11" xfId="11890"/>
    <cellStyle name="표준 2 3 9 2 2" xfId="535"/>
    <cellStyle name="표준 2 3 9 2 2 2" xfId="1623"/>
    <cellStyle name="표준 2 3 9 2 2 2 2" xfId="5422"/>
    <cellStyle name="표준 2 3 9 2 2 2 2 2" xfId="10299"/>
    <cellStyle name="표준 2 3 9 2 2 2 2 2 2" xfId="21547"/>
    <cellStyle name="표준 2 3 9 2 2 2 2 3" xfId="7861"/>
    <cellStyle name="표준 2 3 9 2 2 2 2 3 2" xfId="19109"/>
    <cellStyle name="표준 2 3 9 2 2 2 2 4" xfId="16671"/>
    <cellStyle name="표준 2 3 9 2 2 2 3" xfId="9309"/>
    <cellStyle name="표준 2 3 9 2 2 2 3 2" xfId="20557"/>
    <cellStyle name="표준 2 3 9 2 2 2 4" xfId="6871"/>
    <cellStyle name="표준 2 3 9 2 2 2 4 2" xfId="18119"/>
    <cellStyle name="표준 2 3 9 2 2 2 5" xfId="4430"/>
    <cellStyle name="표준 2 3 9 2 2 2 5 2" xfId="15681"/>
    <cellStyle name="표준 2 3 9 2 2 2 6" xfId="3235"/>
    <cellStyle name="표준 2 3 9 2 2 2 6 2" xfId="14513"/>
    <cellStyle name="표준 2 3 9 2 2 2 7" xfId="13053"/>
    <cellStyle name="표준 2 3 9 2 2 3" xfId="4969"/>
    <cellStyle name="표준 2 3 9 2 2 3 2" xfId="9846"/>
    <cellStyle name="표준 2 3 9 2 2 3 2 2" xfId="21094"/>
    <cellStyle name="표준 2 3 9 2 2 3 3" xfId="7408"/>
    <cellStyle name="표준 2 3 9 2 2 3 3 2" xfId="18656"/>
    <cellStyle name="표준 2 3 9 2 2 3 4" xfId="16218"/>
    <cellStyle name="표준 2 3 9 2 2 4" xfId="8856"/>
    <cellStyle name="표준 2 3 9 2 2 4 2" xfId="20104"/>
    <cellStyle name="표준 2 3 9 2 2 5" xfId="6418"/>
    <cellStyle name="표준 2 3 9 2 2 5 2" xfId="17666"/>
    <cellStyle name="표준 2 3 9 2 2 6" xfId="11026"/>
    <cellStyle name="표준 2 3 9 2 2 6 2" xfId="22273"/>
    <cellStyle name="표준 2 3 9 2 2 7" xfId="3977"/>
    <cellStyle name="표준 2 3 9 2 2 7 2" xfId="15228"/>
    <cellStyle name="표준 2 3 9 2 2 8" xfId="2207"/>
    <cellStyle name="표준 2 3 9 2 2 8 2" xfId="13634"/>
    <cellStyle name="표준 2 3 9 2 2 9" xfId="12174"/>
    <cellStyle name="표준 2 3 9 2 3" xfId="1238"/>
    <cellStyle name="표준 2 3 9 2 3 2" xfId="5195"/>
    <cellStyle name="표준 2 3 9 2 3 2 2" xfId="10072"/>
    <cellStyle name="표준 2 3 9 2 3 2 2 2" xfId="21320"/>
    <cellStyle name="표준 2 3 9 2 3 2 3" xfId="7634"/>
    <cellStyle name="표준 2 3 9 2 3 2 3 2" xfId="18882"/>
    <cellStyle name="표준 2 3 9 2 3 2 4" xfId="16444"/>
    <cellStyle name="표준 2 3 9 2 3 3" xfId="9082"/>
    <cellStyle name="표준 2 3 9 2 3 3 2" xfId="20330"/>
    <cellStyle name="표준 2 3 9 2 3 4" xfId="6644"/>
    <cellStyle name="표준 2 3 9 2 3 4 2" xfId="17892"/>
    <cellStyle name="표준 2 3 9 2 3 5" xfId="4203"/>
    <cellStyle name="표준 2 3 9 2 3 5 2" xfId="15454"/>
    <cellStyle name="표준 2 3 9 2 3 6" xfId="2859"/>
    <cellStyle name="표준 2 3 9 2 3 6 2" xfId="14137"/>
    <cellStyle name="표준 2 3 9 2 3 7" xfId="12677"/>
    <cellStyle name="표준 2 3 9 2 4" xfId="4743"/>
    <cellStyle name="표준 2 3 9 2 4 2" xfId="9620"/>
    <cellStyle name="표준 2 3 9 2 4 2 2" xfId="20868"/>
    <cellStyle name="표준 2 3 9 2 4 3" xfId="7182"/>
    <cellStyle name="표준 2 3 9 2 4 3 2" xfId="18430"/>
    <cellStyle name="표준 2 3 9 2 4 4" xfId="15992"/>
    <cellStyle name="표준 2 3 9 2 5" xfId="3751"/>
    <cellStyle name="표준 2 3 9 2 5 2" xfId="8630"/>
    <cellStyle name="표준 2 3 9 2 5 2 2" xfId="19878"/>
    <cellStyle name="표준 2 3 9 2 5 3" xfId="6192"/>
    <cellStyle name="표준 2 3 9 2 5 3 2" xfId="17440"/>
    <cellStyle name="표준 2 3 9 2 5 4" xfId="15002"/>
    <cellStyle name="표준 2 3 9 2 6" xfId="8395"/>
    <cellStyle name="표준 2 3 9 2 6 2" xfId="19643"/>
    <cellStyle name="표준 2 3 9 2 7" xfId="5957"/>
    <cellStyle name="표준 2 3 9 2 7 2" xfId="17205"/>
    <cellStyle name="표준 2 3 9 2 8" xfId="10841"/>
    <cellStyle name="표준 2 3 9 2 8 2" xfId="22089"/>
    <cellStyle name="표준 2 3 9 2 9" xfId="3495"/>
    <cellStyle name="표준 2 3 9 2 9 2" xfId="14767"/>
    <cellStyle name="표준 2 3 9 3" xfId="425"/>
    <cellStyle name="표준 2 3 9 3 2" xfId="1714"/>
    <cellStyle name="표준 2 3 9 3 2 2" xfId="5336"/>
    <cellStyle name="표준 2 3 9 3 2 2 2" xfId="10213"/>
    <cellStyle name="표준 2 3 9 3 2 2 2 2" xfId="21461"/>
    <cellStyle name="표준 2 3 9 3 2 2 3" xfId="7775"/>
    <cellStyle name="표준 2 3 9 3 2 2 3 2" xfId="19023"/>
    <cellStyle name="표준 2 3 9 3 2 2 4" xfId="16585"/>
    <cellStyle name="표준 2 3 9 3 2 3" xfId="9223"/>
    <cellStyle name="표준 2 3 9 3 2 3 2" xfId="20471"/>
    <cellStyle name="표준 2 3 9 3 2 4" xfId="6785"/>
    <cellStyle name="표준 2 3 9 3 2 4 2" xfId="18033"/>
    <cellStyle name="표준 2 3 9 3 2 5" xfId="4344"/>
    <cellStyle name="표준 2 3 9 3 2 5 2" xfId="15595"/>
    <cellStyle name="표준 2 3 9 3 2 6" xfId="3326"/>
    <cellStyle name="표준 2 3 9 3 2 6 2" xfId="14604"/>
    <cellStyle name="표준 2 3 9 3 2 7" xfId="13144"/>
    <cellStyle name="표준 2 3 9 3 3" xfId="1332"/>
    <cellStyle name="표준 2 3 9 3 3 2" xfId="9760"/>
    <cellStyle name="표준 2 3 9 3 3 2 2" xfId="21008"/>
    <cellStyle name="표준 2 3 9 3 3 3" xfId="7322"/>
    <cellStyle name="표준 2 3 9 3 3 3 2" xfId="18570"/>
    <cellStyle name="표준 2 3 9 3 3 4" xfId="4883"/>
    <cellStyle name="표준 2 3 9 3 3 4 2" xfId="16132"/>
    <cellStyle name="표준 2 3 9 3 3 5" xfId="2953"/>
    <cellStyle name="표준 2 3 9 3 3 5 2" xfId="14231"/>
    <cellStyle name="표준 2 3 9 3 3 6" xfId="12771"/>
    <cellStyle name="표준 2 3 9 3 4" xfId="8770"/>
    <cellStyle name="표준 2 3 9 3 4 2" xfId="20018"/>
    <cellStyle name="표준 2 3 9 3 5" xfId="6332"/>
    <cellStyle name="표준 2 3 9 3 5 2" xfId="17580"/>
    <cellStyle name="표준 2 3 9 3 6" xfId="10943"/>
    <cellStyle name="표준 2 3 9 3 6 2" xfId="22190"/>
    <cellStyle name="표준 2 3 9 3 7" xfId="3891"/>
    <cellStyle name="표준 2 3 9 3 7 2" xfId="15142"/>
    <cellStyle name="표준 2 3 9 3 8" xfId="2097"/>
    <cellStyle name="표준 2 3 9 3 8 2" xfId="13524"/>
    <cellStyle name="표준 2 3 9 3 9" xfId="12064"/>
    <cellStyle name="표준 2 3 9 4" xfId="769"/>
    <cellStyle name="표준 2 3 9 4 2" xfId="1422"/>
    <cellStyle name="표준 2 3 9 4 2 2" xfId="9986"/>
    <cellStyle name="표준 2 3 9 4 2 2 2" xfId="21234"/>
    <cellStyle name="표준 2 3 9 4 2 3" xfId="7548"/>
    <cellStyle name="표준 2 3 9 4 2 3 2" xfId="18796"/>
    <cellStyle name="표준 2 3 9 4 2 4" xfId="5109"/>
    <cellStyle name="표준 2 3 9 4 2 4 2" xfId="16358"/>
    <cellStyle name="표준 2 3 9 4 2 5" xfId="3036"/>
    <cellStyle name="표준 2 3 9 4 2 5 2" xfId="14314"/>
    <cellStyle name="표준 2 3 9 4 2 6" xfId="12854"/>
    <cellStyle name="표준 2 3 9 4 3" xfId="8996"/>
    <cellStyle name="표준 2 3 9 4 3 2" xfId="20244"/>
    <cellStyle name="표준 2 3 9 4 4" xfId="6558"/>
    <cellStyle name="표준 2 3 9 4 4 2" xfId="17806"/>
    <cellStyle name="표준 2 3 9 4 5" xfId="4117"/>
    <cellStyle name="표준 2 3 9 4 5 2" xfId="15368"/>
    <cellStyle name="표준 2 3 9 4 6" xfId="2396"/>
    <cellStyle name="표준 2 3 9 4 6 2" xfId="13791"/>
    <cellStyle name="표준 2 3 9 4 7" xfId="12331"/>
    <cellStyle name="표준 2 3 9 5" xfId="1128"/>
    <cellStyle name="표준 2 3 9 5 2" xfId="5516"/>
    <cellStyle name="표준 2 3 9 5 2 2" xfId="10393"/>
    <cellStyle name="표준 2 3 9 5 2 2 2" xfId="21641"/>
    <cellStyle name="표준 2 3 9 5 2 3" xfId="7955"/>
    <cellStyle name="표준 2 3 9 5 2 3 2" xfId="19203"/>
    <cellStyle name="표준 2 3 9 5 2 4" xfId="16765"/>
    <cellStyle name="표준 2 3 9 5 3" xfId="9403"/>
    <cellStyle name="표준 2 3 9 5 3 2" xfId="20651"/>
    <cellStyle name="표준 2 3 9 5 4" xfId="6965"/>
    <cellStyle name="표준 2 3 9 5 4 2" xfId="18213"/>
    <cellStyle name="표준 2 3 9 5 5" xfId="4526"/>
    <cellStyle name="표준 2 3 9 5 5 2" xfId="15775"/>
    <cellStyle name="표준 2 3 9 5 6" xfId="2749"/>
    <cellStyle name="표준 2 3 9 5 6 2" xfId="14027"/>
    <cellStyle name="표준 2 3 9 5 7" xfId="12567"/>
    <cellStyle name="표준 2 3 9 6" xfId="954"/>
    <cellStyle name="표준 2 3 9 6 2" xfId="9534"/>
    <cellStyle name="표준 2 3 9 6 2 2" xfId="20782"/>
    <cellStyle name="표준 2 3 9 6 3" xfId="7096"/>
    <cellStyle name="표준 2 3 9 6 3 2" xfId="18344"/>
    <cellStyle name="표준 2 3 9 6 4" xfId="4657"/>
    <cellStyle name="표준 2 3 9 6 4 2" xfId="15906"/>
    <cellStyle name="표준 2 3 9 6 5" xfId="2576"/>
    <cellStyle name="표준 2 3 9 6 5 2" xfId="13854"/>
    <cellStyle name="표준 2 3 9 6 6" xfId="12394"/>
    <cellStyle name="표준 2 3 9 7" xfId="5600"/>
    <cellStyle name="표준 2 3 9 7 2" xfId="10477"/>
    <cellStyle name="표준 2 3 9 7 2 2" xfId="21725"/>
    <cellStyle name="표준 2 3 9 7 3" xfId="8039"/>
    <cellStyle name="표준 2 3 9 7 3 2" xfId="19287"/>
    <cellStyle name="표준 2 3 9 7 4" xfId="16849"/>
    <cellStyle name="표준 2 3 9 8" xfId="5706"/>
    <cellStyle name="표준 2 3 9 8 2" xfId="10583"/>
    <cellStyle name="표준 2 3 9 8 2 2" xfId="21831"/>
    <cellStyle name="표준 2 3 9 8 3" xfId="8145"/>
    <cellStyle name="표준 2 3 9 8 3 2" xfId="19393"/>
    <cellStyle name="표준 2 3 9 8 4" xfId="16955"/>
    <cellStyle name="표준 2 3 9 9" xfId="5789"/>
    <cellStyle name="표준 2 3 9 9 2" xfId="10666"/>
    <cellStyle name="표준 2 3 9 9 2 2" xfId="21914"/>
    <cellStyle name="표준 2 3 9 9 3" xfId="8228"/>
    <cellStyle name="표준 2 3 9 9 3 2" xfId="19476"/>
    <cellStyle name="표준 2 3 9 9 4" xfId="17038"/>
    <cellStyle name="표준 2 30" xfId="1764"/>
    <cellStyle name="표준 2 30 2" xfId="13193"/>
    <cellStyle name="표준 2 31" xfId="11733"/>
    <cellStyle name="표준 2 4" xfId="52"/>
    <cellStyle name="표준 2 4 10" xfId="318"/>
    <cellStyle name="표준 2 4 10 10" xfId="1990"/>
    <cellStyle name="표준 2 4 10 10 2" xfId="13417"/>
    <cellStyle name="표준 2 4 10 11" xfId="11957"/>
    <cellStyle name="표준 2 4 10 2" xfId="1688"/>
    <cellStyle name="표준 2 4 10 2 2" xfId="4399"/>
    <cellStyle name="표준 2 4 10 2 2 2" xfId="5391"/>
    <cellStyle name="표준 2 4 10 2 2 2 2" xfId="10268"/>
    <cellStyle name="표준 2 4 10 2 2 2 2 2" xfId="21516"/>
    <cellStyle name="표준 2 4 10 2 2 2 3" xfId="7830"/>
    <cellStyle name="표준 2 4 10 2 2 2 3 2" xfId="19078"/>
    <cellStyle name="표준 2 4 10 2 2 2 4" xfId="16640"/>
    <cellStyle name="표준 2 4 10 2 2 3" xfId="9278"/>
    <cellStyle name="표준 2 4 10 2 2 3 2" xfId="20526"/>
    <cellStyle name="표준 2 4 10 2 2 4" xfId="6840"/>
    <cellStyle name="표준 2 4 10 2 2 4 2" xfId="18088"/>
    <cellStyle name="표준 2 4 10 2 2 5" xfId="15650"/>
    <cellStyle name="표준 2 4 10 2 3" xfId="4938"/>
    <cellStyle name="표준 2 4 10 2 3 2" xfId="9815"/>
    <cellStyle name="표준 2 4 10 2 3 2 2" xfId="21063"/>
    <cellStyle name="표준 2 4 10 2 3 3" xfId="7377"/>
    <cellStyle name="표준 2 4 10 2 3 3 2" xfId="18625"/>
    <cellStyle name="표준 2 4 10 2 3 4" xfId="16187"/>
    <cellStyle name="표준 2 4 10 2 4" xfId="8825"/>
    <cellStyle name="표준 2 4 10 2 4 2" xfId="20073"/>
    <cellStyle name="표준 2 4 10 2 5" xfId="6387"/>
    <cellStyle name="표준 2 4 10 2 5 2" xfId="17635"/>
    <cellStyle name="표준 2 4 10 2 6" xfId="11079"/>
    <cellStyle name="표준 2 4 10 2 6 2" xfId="22326"/>
    <cellStyle name="표준 2 4 10 2 7" xfId="3946"/>
    <cellStyle name="표준 2 4 10 2 7 2" xfId="15197"/>
    <cellStyle name="표준 2 4 10 2 8" xfId="3300"/>
    <cellStyle name="표준 2 4 10 2 8 2" xfId="14578"/>
    <cellStyle name="표준 2 4 10 2 9" xfId="13118"/>
    <cellStyle name="표준 2 4 10 3" xfId="1303"/>
    <cellStyle name="표준 2 4 10 3 2" xfId="5164"/>
    <cellStyle name="표준 2 4 10 3 2 2" xfId="10041"/>
    <cellStyle name="표준 2 4 10 3 2 2 2" xfId="21289"/>
    <cellStyle name="표준 2 4 10 3 2 3" xfId="7603"/>
    <cellStyle name="표준 2 4 10 3 2 3 2" xfId="18851"/>
    <cellStyle name="표준 2 4 10 3 2 4" xfId="16413"/>
    <cellStyle name="표준 2 4 10 3 3" xfId="9051"/>
    <cellStyle name="표준 2 4 10 3 3 2" xfId="20299"/>
    <cellStyle name="표준 2 4 10 3 4" xfId="6613"/>
    <cellStyle name="표준 2 4 10 3 4 2" xfId="17861"/>
    <cellStyle name="표준 2 4 10 3 5" xfId="4172"/>
    <cellStyle name="표준 2 4 10 3 5 2" xfId="15423"/>
    <cellStyle name="표준 2 4 10 3 6" xfId="2924"/>
    <cellStyle name="표준 2 4 10 3 6 2" xfId="14202"/>
    <cellStyle name="표준 2 4 10 3 7" xfId="12742"/>
    <cellStyle name="표준 2 4 10 4" xfId="4712"/>
    <cellStyle name="표준 2 4 10 4 2" xfId="9589"/>
    <cellStyle name="표준 2 4 10 4 2 2" xfId="20837"/>
    <cellStyle name="표준 2 4 10 4 3" xfId="7151"/>
    <cellStyle name="표준 2 4 10 4 3 2" xfId="18399"/>
    <cellStyle name="표준 2 4 10 4 4" xfId="15961"/>
    <cellStyle name="표준 2 4 10 5" xfId="3720"/>
    <cellStyle name="표준 2 4 10 5 2" xfId="8599"/>
    <cellStyle name="표준 2 4 10 5 2 2" xfId="19847"/>
    <cellStyle name="표준 2 4 10 5 3" xfId="6161"/>
    <cellStyle name="표준 2 4 10 5 3 2" xfId="17409"/>
    <cellStyle name="표준 2 4 10 5 4" xfId="14971"/>
    <cellStyle name="표준 2 4 10 6" xfId="8448"/>
    <cellStyle name="표준 2 4 10 6 2" xfId="19696"/>
    <cellStyle name="표준 2 4 10 7" xfId="6010"/>
    <cellStyle name="표준 2 4 10 7 2" xfId="17258"/>
    <cellStyle name="표준 2 4 10 8" xfId="10894"/>
    <cellStyle name="표준 2 4 10 8 2" xfId="22142"/>
    <cellStyle name="표준 2 4 10 9" xfId="3549"/>
    <cellStyle name="표준 2 4 10 9 2" xfId="14820"/>
    <cellStyle name="표준 2 4 11" xfId="611"/>
    <cellStyle name="표준 2 4 11 2" xfId="1392"/>
    <cellStyle name="표준 2 4 11 2 2" xfId="5258"/>
    <cellStyle name="표준 2 4 11 2 2 2" xfId="10135"/>
    <cellStyle name="표준 2 4 11 2 2 2 2" xfId="21383"/>
    <cellStyle name="표준 2 4 11 2 2 3" xfId="7697"/>
    <cellStyle name="표준 2 4 11 2 2 3 2" xfId="18945"/>
    <cellStyle name="표준 2 4 11 2 2 4" xfId="16507"/>
    <cellStyle name="표준 2 4 11 2 3" xfId="9145"/>
    <cellStyle name="표준 2 4 11 2 3 2" xfId="20393"/>
    <cellStyle name="표준 2 4 11 2 4" xfId="6707"/>
    <cellStyle name="표준 2 4 11 2 4 2" xfId="17955"/>
    <cellStyle name="표준 2 4 11 2 5" xfId="10914"/>
    <cellStyle name="표준 2 4 11 2 5 2" xfId="22161"/>
    <cellStyle name="표준 2 4 11 2 6" xfId="4266"/>
    <cellStyle name="표준 2 4 11 2 6 2" xfId="15517"/>
    <cellStyle name="표준 2 4 11 2 7" xfId="3007"/>
    <cellStyle name="표준 2 4 11 2 7 2" xfId="14285"/>
    <cellStyle name="표준 2 4 11 2 8" xfId="12825"/>
    <cellStyle name="표준 2 4 11 3" xfId="4805"/>
    <cellStyle name="표준 2 4 11 3 2" xfId="9682"/>
    <cellStyle name="표준 2 4 11 3 2 2" xfId="20930"/>
    <cellStyle name="표준 2 4 11 3 3" xfId="7244"/>
    <cellStyle name="표준 2 4 11 3 3 2" xfId="18492"/>
    <cellStyle name="표준 2 4 11 3 4" xfId="16054"/>
    <cellStyle name="표준 2 4 11 4" xfId="8692"/>
    <cellStyle name="표준 2 4 11 4 2" xfId="19940"/>
    <cellStyle name="표준 2 4 11 5" xfId="6254"/>
    <cellStyle name="표준 2 4 11 5 2" xfId="17502"/>
    <cellStyle name="표준 2 4 11 6" xfId="10729"/>
    <cellStyle name="표준 2 4 11 6 2" xfId="21977"/>
    <cellStyle name="표준 2 4 11 7" xfId="3813"/>
    <cellStyle name="표준 2 4 11 7 2" xfId="15064"/>
    <cellStyle name="표준 2 4 11 8" xfId="2283"/>
    <cellStyle name="표준 2 4 11 8 2" xfId="13702"/>
    <cellStyle name="표준 2 4 11 9" xfId="12242"/>
    <cellStyle name="표준 2 4 12" xfId="1021"/>
    <cellStyle name="표준 2 4 12 2" xfId="5031"/>
    <cellStyle name="표준 2 4 12 2 2" xfId="9908"/>
    <cellStyle name="표준 2 4 12 2 2 2" xfId="21156"/>
    <cellStyle name="표준 2 4 12 2 3" xfId="7470"/>
    <cellStyle name="표준 2 4 12 2 3 2" xfId="18718"/>
    <cellStyle name="표준 2 4 12 2 4" xfId="16280"/>
    <cellStyle name="표준 2 4 12 3" xfId="8918"/>
    <cellStyle name="표준 2 4 12 3 2" xfId="20166"/>
    <cellStyle name="표준 2 4 12 4" xfId="6480"/>
    <cellStyle name="표준 2 4 12 4 2" xfId="17728"/>
    <cellStyle name="표준 2 4 12 5" xfId="10905"/>
    <cellStyle name="표준 2 4 12 5 2" xfId="22152"/>
    <cellStyle name="표준 2 4 12 6" xfId="4039"/>
    <cellStyle name="표준 2 4 12 6 2" xfId="15290"/>
    <cellStyle name="표준 2 4 12 7" xfId="2642"/>
    <cellStyle name="표준 2 4 12 7 2" xfId="13920"/>
    <cellStyle name="표준 2 4 12 8" xfId="12460"/>
    <cellStyle name="표준 2 4 13" xfId="950"/>
    <cellStyle name="표준 2 4 13 2" xfId="5487"/>
    <cellStyle name="표준 2 4 13 2 2" xfId="10364"/>
    <cellStyle name="표준 2 4 13 2 2 2" xfId="21612"/>
    <cellStyle name="표준 2 4 13 2 3" xfId="7926"/>
    <cellStyle name="표준 2 4 13 2 3 2" xfId="19174"/>
    <cellStyle name="표준 2 4 13 2 4" xfId="16736"/>
    <cellStyle name="표준 2 4 13 3" xfId="9374"/>
    <cellStyle name="표준 2 4 13 3 2" xfId="20622"/>
    <cellStyle name="표준 2 4 13 4" xfId="6936"/>
    <cellStyle name="표준 2 4 13 4 2" xfId="18184"/>
    <cellStyle name="표준 2 4 13 5" xfId="4497"/>
    <cellStyle name="표준 2 4 13 5 2" xfId="15746"/>
    <cellStyle name="표준 2 4 13 6" xfId="2572"/>
    <cellStyle name="표준 2 4 13 6 2" xfId="13850"/>
    <cellStyle name="표준 2 4 13 7" xfId="12390"/>
    <cellStyle name="표준 2 4 14" xfId="4579"/>
    <cellStyle name="표준 2 4 14 2" xfId="9456"/>
    <cellStyle name="표준 2 4 14 2 2" xfId="20704"/>
    <cellStyle name="표준 2 4 14 3" xfId="7018"/>
    <cellStyle name="표준 2 4 14 3 2" xfId="18266"/>
    <cellStyle name="표준 2 4 14 4" xfId="15828"/>
    <cellStyle name="표준 2 4 15" xfId="5571"/>
    <cellStyle name="표준 2 4 15 2" xfId="10448"/>
    <cellStyle name="표준 2 4 15 2 2" xfId="21696"/>
    <cellStyle name="표준 2 4 15 3" xfId="8010"/>
    <cellStyle name="표준 2 4 15 3 2" xfId="19258"/>
    <cellStyle name="표준 2 4 15 4" xfId="16820"/>
    <cellStyle name="표준 2 4 16" xfId="5657"/>
    <cellStyle name="표준 2 4 16 2" xfId="10534"/>
    <cellStyle name="표준 2 4 16 2 2" xfId="21782"/>
    <cellStyle name="표준 2 4 16 3" xfId="8096"/>
    <cellStyle name="표준 2 4 16 3 2" xfId="19344"/>
    <cellStyle name="표준 2 4 16 4" xfId="16906"/>
    <cellStyle name="표준 2 4 17" xfId="5677"/>
    <cellStyle name="표준 2 4 17 2" xfId="10554"/>
    <cellStyle name="표준 2 4 17 2 2" xfId="21802"/>
    <cellStyle name="표준 2 4 17 3" xfId="8116"/>
    <cellStyle name="표준 2 4 17 3 2" xfId="19364"/>
    <cellStyle name="표준 2 4 17 4" xfId="16926"/>
    <cellStyle name="표준 2 4 18" xfId="5760"/>
    <cellStyle name="표준 2 4 18 2" xfId="10637"/>
    <cellStyle name="표준 2 4 18 2 2" xfId="21885"/>
    <cellStyle name="표준 2 4 18 3" xfId="8199"/>
    <cellStyle name="표준 2 4 18 3 2" xfId="19447"/>
    <cellStyle name="표준 2 4 18 4" xfId="17009"/>
    <cellStyle name="표준 2 4 19" xfId="3558"/>
    <cellStyle name="표준 2 4 19 2" xfId="8457"/>
    <cellStyle name="표준 2 4 19 2 2" xfId="19705"/>
    <cellStyle name="표준 2 4 19 3" xfId="6019"/>
    <cellStyle name="표준 2 4 19 3 2" xfId="17267"/>
    <cellStyle name="표준 2 4 19 4" xfId="14829"/>
    <cellStyle name="표준 2 4 2" xfId="57"/>
    <cellStyle name="표준 2 4 2 10" xfId="5617"/>
    <cellStyle name="표준 2 4 2 10 2" xfId="10494"/>
    <cellStyle name="표준 2 4 2 10 2 2" xfId="21742"/>
    <cellStyle name="표준 2 4 2 10 3" xfId="8056"/>
    <cellStyle name="표준 2 4 2 10 3 2" xfId="19304"/>
    <cellStyle name="표준 2 4 2 10 4" xfId="16866"/>
    <cellStyle name="표준 2 4 2 11" xfId="5665"/>
    <cellStyle name="표준 2 4 2 11 2" xfId="10542"/>
    <cellStyle name="표준 2 4 2 11 2 2" xfId="21790"/>
    <cellStyle name="표준 2 4 2 11 3" xfId="8104"/>
    <cellStyle name="표준 2 4 2 11 3 2" xfId="19352"/>
    <cellStyle name="표준 2 4 2 11 4" xfId="16914"/>
    <cellStyle name="표준 2 4 2 12" xfId="5723"/>
    <cellStyle name="표준 2 4 2 12 2" xfId="10600"/>
    <cellStyle name="표준 2 4 2 12 2 2" xfId="21848"/>
    <cellStyle name="표준 2 4 2 12 3" xfId="8162"/>
    <cellStyle name="표준 2 4 2 12 3 2" xfId="19410"/>
    <cellStyle name="표준 2 4 2 12 4" xfId="16972"/>
    <cellStyle name="표준 2 4 2 13" xfId="5806"/>
    <cellStyle name="표준 2 4 2 13 2" xfId="10683"/>
    <cellStyle name="표준 2 4 2 13 2 2" xfId="21931"/>
    <cellStyle name="표준 2 4 2 13 3" xfId="8245"/>
    <cellStyle name="표준 2 4 2 13 3 2" xfId="19493"/>
    <cellStyle name="표준 2 4 2 13 4" xfId="17055"/>
    <cellStyle name="표준 2 4 2 14" xfId="3609"/>
    <cellStyle name="표준 2 4 2 14 2" xfId="8508"/>
    <cellStyle name="표준 2 4 2 14 2 2" xfId="19756"/>
    <cellStyle name="표준 2 4 2 14 3" xfId="6070"/>
    <cellStyle name="표준 2 4 2 14 3 2" xfId="17318"/>
    <cellStyle name="표준 2 4 2 14 4" xfId="14880"/>
    <cellStyle name="표준 2 4 2 15" xfId="8329"/>
    <cellStyle name="표준 2 4 2 15 2" xfId="19577"/>
    <cellStyle name="표준 2 4 2 16" xfId="5891"/>
    <cellStyle name="표준 2 4 2 16 2" xfId="17139"/>
    <cellStyle name="표준 2 4 2 17" xfId="10724"/>
    <cellStyle name="표준 2 4 2 17 2" xfId="21972"/>
    <cellStyle name="표준 2 4 2 18" xfId="3423"/>
    <cellStyle name="표준 2 4 2 18 2" xfId="14701"/>
    <cellStyle name="표준 2 4 2 19" xfId="1773"/>
    <cellStyle name="표준 2 4 2 19 2" xfId="13202"/>
    <cellStyle name="표준 2 4 2 2" xfId="76"/>
    <cellStyle name="표준 2 4 2 2 10" xfId="5724"/>
    <cellStyle name="표준 2 4 2 2 10 2" xfId="10601"/>
    <cellStyle name="표준 2 4 2 2 10 2 2" xfId="21849"/>
    <cellStyle name="표준 2 4 2 2 10 3" xfId="8163"/>
    <cellStyle name="표준 2 4 2 2 10 3 2" xfId="19411"/>
    <cellStyle name="표준 2 4 2 2 10 4" xfId="16973"/>
    <cellStyle name="표준 2 4 2 2 11" xfId="5807"/>
    <cellStyle name="표준 2 4 2 2 11 2" xfId="10684"/>
    <cellStyle name="표준 2 4 2 2 11 2 2" xfId="21932"/>
    <cellStyle name="표준 2 4 2 2 11 3" xfId="8246"/>
    <cellStyle name="표준 2 4 2 2 11 3 2" xfId="19494"/>
    <cellStyle name="표준 2 4 2 2 11 4" xfId="17056"/>
    <cellStyle name="표준 2 4 2 2 12" xfId="3610"/>
    <cellStyle name="표준 2 4 2 2 12 2" xfId="8509"/>
    <cellStyle name="표준 2 4 2 2 12 2 2" xfId="19757"/>
    <cellStyle name="표준 2 4 2 2 12 3" xfId="6071"/>
    <cellStyle name="표준 2 4 2 2 12 3 2" xfId="17319"/>
    <cellStyle name="표준 2 4 2 2 12 4" xfId="14881"/>
    <cellStyle name="표준 2 4 2 2 13" xfId="8330"/>
    <cellStyle name="표준 2 4 2 2 13 2" xfId="19578"/>
    <cellStyle name="표준 2 4 2 2 14" xfId="5892"/>
    <cellStyle name="표준 2 4 2 2 14 2" xfId="17140"/>
    <cellStyle name="표준 2 4 2 2 15" xfId="10776"/>
    <cellStyle name="표준 2 4 2 2 15 2" xfId="22024"/>
    <cellStyle name="표준 2 4 2 2 16" xfId="3424"/>
    <cellStyle name="표준 2 4 2 2 16 2" xfId="14702"/>
    <cellStyle name="표준 2 4 2 2 17" xfId="1792"/>
    <cellStyle name="표준 2 4 2 2 17 2" xfId="13221"/>
    <cellStyle name="표준 2 4 2 2 18" xfId="11761"/>
    <cellStyle name="표준 2 4 2 2 2" xfId="179"/>
    <cellStyle name="표준 2 4 2 2 2 10" xfId="3513"/>
    <cellStyle name="표준 2 4 2 2 2 10 2" xfId="14785"/>
    <cellStyle name="표준 2 4 2 2 2 11" xfId="1853"/>
    <cellStyle name="표준 2 4 2 2 2 11 2" xfId="13280"/>
    <cellStyle name="표준 2 4 2 2 2 12" xfId="11820"/>
    <cellStyle name="표준 2 4 2 2 2 2" xfId="291"/>
    <cellStyle name="표준 2 4 2 2 2 2 10" xfId="11930"/>
    <cellStyle name="표준 2 4 2 2 2 2 2" xfId="575"/>
    <cellStyle name="표준 2 4 2 2 2 2 2 2" xfId="1663"/>
    <cellStyle name="표준 2 4 2 2 2 2 2 2 2" xfId="5388"/>
    <cellStyle name="표준 2 4 2 2 2 2 2 2 2 2" xfId="10265"/>
    <cellStyle name="표준 2 4 2 2 2 2 2 2 2 2 2" xfId="21513"/>
    <cellStyle name="표준 2 4 2 2 2 2 2 2 2 3" xfId="7827"/>
    <cellStyle name="표준 2 4 2 2 2 2 2 2 2 3 2" xfId="19075"/>
    <cellStyle name="표준 2 4 2 2 2 2 2 2 2 4" xfId="16637"/>
    <cellStyle name="표준 2 4 2 2 2 2 2 2 3" xfId="9275"/>
    <cellStyle name="표준 2 4 2 2 2 2 2 2 3 2" xfId="20523"/>
    <cellStyle name="표준 2 4 2 2 2 2 2 2 4" xfId="6837"/>
    <cellStyle name="표준 2 4 2 2 2 2 2 2 4 2" xfId="18085"/>
    <cellStyle name="표준 2 4 2 2 2 2 2 2 5" xfId="4396"/>
    <cellStyle name="표준 2 4 2 2 2 2 2 2 5 2" xfId="15647"/>
    <cellStyle name="표준 2 4 2 2 2 2 2 2 6" xfId="3275"/>
    <cellStyle name="표준 2 4 2 2 2 2 2 2 6 2" xfId="14553"/>
    <cellStyle name="표준 2 4 2 2 2 2 2 2 7" xfId="13093"/>
    <cellStyle name="표준 2 4 2 2 2 2 2 3" xfId="4935"/>
    <cellStyle name="표준 2 4 2 2 2 2 2 3 2" xfId="9812"/>
    <cellStyle name="표준 2 4 2 2 2 2 2 3 2 2" xfId="21060"/>
    <cellStyle name="표준 2 4 2 2 2 2 2 3 3" xfId="7374"/>
    <cellStyle name="표준 2 4 2 2 2 2 2 3 3 2" xfId="18622"/>
    <cellStyle name="표준 2 4 2 2 2 2 2 3 4" xfId="16184"/>
    <cellStyle name="표준 2 4 2 2 2 2 2 4" xfId="8822"/>
    <cellStyle name="표준 2 4 2 2 2 2 2 4 2" xfId="20070"/>
    <cellStyle name="표준 2 4 2 2 2 2 2 5" xfId="6384"/>
    <cellStyle name="표준 2 4 2 2 2 2 2 5 2" xfId="17632"/>
    <cellStyle name="표준 2 4 2 2 2 2 2 6" xfId="3943"/>
    <cellStyle name="표준 2 4 2 2 2 2 2 6 2" xfId="15194"/>
    <cellStyle name="표준 2 4 2 2 2 2 2 7" xfId="2247"/>
    <cellStyle name="표준 2 4 2 2 2 2 2 7 2" xfId="13674"/>
    <cellStyle name="표준 2 4 2 2 2 2 2 8" xfId="12214"/>
    <cellStyle name="표준 2 4 2 2 2 2 3" xfId="1278"/>
    <cellStyle name="표준 2 4 2 2 2 2 3 2" xfId="5161"/>
    <cellStyle name="표준 2 4 2 2 2 2 3 2 2" xfId="10038"/>
    <cellStyle name="표준 2 4 2 2 2 2 3 2 2 2" xfId="21286"/>
    <cellStyle name="표준 2 4 2 2 2 2 3 2 3" xfId="7600"/>
    <cellStyle name="표준 2 4 2 2 2 2 3 2 3 2" xfId="18848"/>
    <cellStyle name="표준 2 4 2 2 2 2 3 2 4" xfId="16410"/>
    <cellStyle name="표준 2 4 2 2 2 2 3 3" xfId="9048"/>
    <cellStyle name="표준 2 4 2 2 2 2 3 3 2" xfId="20296"/>
    <cellStyle name="표준 2 4 2 2 2 2 3 4" xfId="6610"/>
    <cellStyle name="표준 2 4 2 2 2 2 3 4 2" xfId="17858"/>
    <cellStyle name="표준 2 4 2 2 2 2 3 5" xfId="4169"/>
    <cellStyle name="표준 2 4 2 2 2 2 3 5 2" xfId="15420"/>
    <cellStyle name="표준 2 4 2 2 2 2 3 6" xfId="2899"/>
    <cellStyle name="표준 2 4 2 2 2 2 3 6 2" xfId="14177"/>
    <cellStyle name="표준 2 4 2 2 2 2 3 7" xfId="12717"/>
    <cellStyle name="표준 2 4 2 2 2 2 4" xfId="4709"/>
    <cellStyle name="표준 2 4 2 2 2 2 4 2" xfId="9586"/>
    <cellStyle name="표준 2 4 2 2 2 2 4 2 2" xfId="20834"/>
    <cellStyle name="표준 2 4 2 2 2 2 4 3" xfId="7148"/>
    <cellStyle name="표준 2 4 2 2 2 2 4 3 2" xfId="18396"/>
    <cellStyle name="표준 2 4 2 2 2 2 4 4" xfId="15958"/>
    <cellStyle name="표준 2 4 2 2 2 2 5" xfId="8596"/>
    <cellStyle name="표준 2 4 2 2 2 2 5 2" xfId="19844"/>
    <cellStyle name="표준 2 4 2 2 2 2 6" xfId="6158"/>
    <cellStyle name="표준 2 4 2 2 2 2 6 2" xfId="17406"/>
    <cellStyle name="표준 2 4 2 2 2 2 7" xfId="11044"/>
    <cellStyle name="표준 2 4 2 2 2 2 7 2" xfId="22291"/>
    <cellStyle name="표준 2 4 2 2 2 2 8" xfId="3717"/>
    <cellStyle name="표준 2 4 2 2 2 2 8 2" xfId="14968"/>
    <cellStyle name="표준 2 4 2 2 2 2 9" xfId="1963"/>
    <cellStyle name="표준 2 4 2 2 2 2 9 2" xfId="13390"/>
    <cellStyle name="표준 2 4 2 2 2 3" xfId="465"/>
    <cellStyle name="표준 2 4 2 2 2 3 2" xfId="1558"/>
    <cellStyle name="표준 2 4 2 2 2 3 2 2" xfId="5295"/>
    <cellStyle name="표준 2 4 2 2 2 3 2 2 2" xfId="10172"/>
    <cellStyle name="표준 2 4 2 2 2 3 2 2 2 2" xfId="21420"/>
    <cellStyle name="표준 2 4 2 2 2 3 2 2 3" xfId="7734"/>
    <cellStyle name="표준 2 4 2 2 2 3 2 2 3 2" xfId="18982"/>
    <cellStyle name="표준 2 4 2 2 2 3 2 2 4" xfId="16544"/>
    <cellStyle name="표준 2 4 2 2 2 3 2 3" xfId="9182"/>
    <cellStyle name="표준 2 4 2 2 2 3 2 3 2" xfId="20430"/>
    <cellStyle name="표준 2 4 2 2 2 3 2 4" xfId="6744"/>
    <cellStyle name="표준 2 4 2 2 2 3 2 4 2" xfId="17992"/>
    <cellStyle name="표준 2 4 2 2 2 3 2 5" xfId="4303"/>
    <cellStyle name="표준 2 4 2 2 2 3 2 5 2" xfId="15554"/>
    <cellStyle name="표준 2 4 2 2 2 3 2 6" xfId="3170"/>
    <cellStyle name="표준 2 4 2 2 2 3 2 6 2" xfId="14448"/>
    <cellStyle name="표준 2 4 2 2 2 3 2 7" xfId="12988"/>
    <cellStyle name="표준 2 4 2 2 2 3 3" xfId="4842"/>
    <cellStyle name="표준 2 4 2 2 2 3 3 2" xfId="9719"/>
    <cellStyle name="표준 2 4 2 2 2 3 3 2 2" xfId="20967"/>
    <cellStyle name="표준 2 4 2 2 2 3 3 3" xfId="7281"/>
    <cellStyle name="표준 2 4 2 2 2 3 3 3 2" xfId="18529"/>
    <cellStyle name="표준 2 4 2 2 2 3 3 4" xfId="16091"/>
    <cellStyle name="표준 2 4 2 2 2 3 4" xfId="8729"/>
    <cellStyle name="표준 2 4 2 2 2 3 4 2" xfId="19977"/>
    <cellStyle name="표준 2 4 2 2 2 3 5" xfId="6291"/>
    <cellStyle name="표준 2 4 2 2 2 3 5 2" xfId="17539"/>
    <cellStyle name="표준 2 4 2 2 2 3 6" xfId="3850"/>
    <cellStyle name="표준 2 4 2 2 2 3 6 2" xfId="15101"/>
    <cellStyle name="표준 2 4 2 2 2 3 7" xfId="2137"/>
    <cellStyle name="표준 2 4 2 2 2 3 7 2" xfId="13564"/>
    <cellStyle name="표준 2 4 2 2 2 3 8" xfId="12104"/>
    <cellStyle name="표준 2 4 2 2 2 4" xfId="787"/>
    <cellStyle name="표준 2 4 2 2 2 4 2" xfId="5068"/>
    <cellStyle name="표준 2 4 2 2 2 4 2 2" xfId="9945"/>
    <cellStyle name="표준 2 4 2 2 2 4 2 2 2" xfId="21193"/>
    <cellStyle name="표준 2 4 2 2 2 4 2 3" xfId="7507"/>
    <cellStyle name="표준 2 4 2 2 2 4 2 3 2" xfId="18755"/>
    <cellStyle name="표준 2 4 2 2 2 4 2 4" xfId="16317"/>
    <cellStyle name="표준 2 4 2 2 2 4 3" xfId="8955"/>
    <cellStyle name="표준 2 4 2 2 2 4 3 2" xfId="20203"/>
    <cellStyle name="표준 2 4 2 2 2 4 4" xfId="6517"/>
    <cellStyle name="표준 2 4 2 2 2 4 4 2" xfId="17765"/>
    <cellStyle name="표준 2 4 2 2 2 4 5" xfId="4076"/>
    <cellStyle name="표준 2 4 2 2 2 4 5 2" xfId="15327"/>
    <cellStyle name="표준 2 4 2 2 2 4 6" xfId="2414"/>
    <cellStyle name="표준 2 4 2 2 2 4 6 2" xfId="13809"/>
    <cellStyle name="표준 2 4 2 2 2 4 7" xfId="12349"/>
    <cellStyle name="표준 2 4 2 2 2 5" xfId="1168"/>
    <cellStyle name="표준 2 4 2 2 2 5 2" xfId="9493"/>
    <cellStyle name="표준 2 4 2 2 2 5 2 2" xfId="20741"/>
    <cellStyle name="표준 2 4 2 2 2 5 3" xfId="7055"/>
    <cellStyle name="표준 2 4 2 2 2 5 3 2" xfId="18303"/>
    <cellStyle name="표준 2 4 2 2 2 5 4" xfId="4616"/>
    <cellStyle name="표준 2 4 2 2 2 5 4 2" xfId="15865"/>
    <cellStyle name="표준 2 4 2 2 2 5 5" xfId="2789"/>
    <cellStyle name="표준 2 4 2 2 2 5 5 2" xfId="14067"/>
    <cellStyle name="표준 2 4 2 2 2 5 6" xfId="12607"/>
    <cellStyle name="표준 2 4 2 2 2 6" xfId="3651"/>
    <cellStyle name="표준 2 4 2 2 2 6 2" xfId="8548"/>
    <cellStyle name="표준 2 4 2 2 2 6 2 2" xfId="19796"/>
    <cellStyle name="표준 2 4 2 2 2 6 3" xfId="6110"/>
    <cellStyle name="표준 2 4 2 2 2 6 3 2" xfId="17358"/>
    <cellStyle name="표준 2 4 2 2 2 6 4" xfId="14920"/>
    <cellStyle name="표준 2 4 2 2 2 7" xfId="8413"/>
    <cellStyle name="표준 2 4 2 2 2 7 2" xfId="19661"/>
    <cellStyle name="표준 2 4 2 2 2 8" xfId="5975"/>
    <cellStyle name="표준 2 4 2 2 2 8 2" xfId="17223"/>
    <cellStyle name="표준 2 4 2 2 2 9" xfId="10859"/>
    <cellStyle name="표준 2 4 2 2 2 9 2" xfId="22107"/>
    <cellStyle name="표준 2 4 2 2 3" xfId="232"/>
    <cellStyle name="표준 2 4 2 2 3 10" xfId="11871"/>
    <cellStyle name="표준 2 4 2 2 3 2" xfId="516"/>
    <cellStyle name="표준 2 4 2 2 3 2 2" xfId="1604"/>
    <cellStyle name="표준 2 4 2 2 3 2 2 2" xfId="5354"/>
    <cellStyle name="표준 2 4 2 2 3 2 2 2 2" xfId="10231"/>
    <cellStyle name="표준 2 4 2 2 3 2 2 2 2 2" xfId="21479"/>
    <cellStyle name="표준 2 4 2 2 3 2 2 2 3" xfId="7793"/>
    <cellStyle name="표준 2 4 2 2 3 2 2 2 3 2" xfId="19041"/>
    <cellStyle name="표준 2 4 2 2 3 2 2 2 4" xfId="16603"/>
    <cellStyle name="표준 2 4 2 2 3 2 2 3" xfId="9241"/>
    <cellStyle name="표준 2 4 2 2 3 2 2 3 2" xfId="20489"/>
    <cellStyle name="표준 2 4 2 2 3 2 2 4" xfId="6803"/>
    <cellStyle name="표준 2 4 2 2 3 2 2 4 2" xfId="18051"/>
    <cellStyle name="표준 2 4 2 2 3 2 2 5" xfId="4362"/>
    <cellStyle name="표준 2 4 2 2 3 2 2 5 2" xfId="15613"/>
    <cellStyle name="표준 2 4 2 2 3 2 2 6" xfId="3216"/>
    <cellStyle name="표준 2 4 2 2 3 2 2 6 2" xfId="14494"/>
    <cellStyle name="표준 2 4 2 2 3 2 2 7" xfId="13034"/>
    <cellStyle name="표준 2 4 2 2 3 2 3" xfId="4901"/>
    <cellStyle name="표준 2 4 2 2 3 2 3 2" xfId="9778"/>
    <cellStyle name="표준 2 4 2 2 3 2 3 2 2" xfId="21026"/>
    <cellStyle name="표준 2 4 2 2 3 2 3 3" xfId="7340"/>
    <cellStyle name="표준 2 4 2 2 3 2 3 3 2" xfId="18588"/>
    <cellStyle name="표준 2 4 2 2 3 2 3 4" xfId="16150"/>
    <cellStyle name="표준 2 4 2 2 3 2 4" xfId="8788"/>
    <cellStyle name="표준 2 4 2 2 3 2 4 2" xfId="20036"/>
    <cellStyle name="표준 2 4 2 2 3 2 5" xfId="6350"/>
    <cellStyle name="표준 2 4 2 2 3 2 5 2" xfId="17598"/>
    <cellStyle name="표준 2 4 2 2 3 2 6" xfId="3909"/>
    <cellStyle name="표준 2 4 2 2 3 2 6 2" xfId="15160"/>
    <cellStyle name="표준 2 4 2 2 3 2 7" xfId="2188"/>
    <cellStyle name="표준 2 4 2 2 3 2 7 2" xfId="13615"/>
    <cellStyle name="표준 2 4 2 2 3 2 8" xfId="12155"/>
    <cellStyle name="표준 2 4 2 2 3 3" xfId="1219"/>
    <cellStyle name="표준 2 4 2 2 3 3 2" xfId="5127"/>
    <cellStyle name="표준 2 4 2 2 3 3 2 2" xfId="10004"/>
    <cellStyle name="표준 2 4 2 2 3 3 2 2 2" xfId="21252"/>
    <cellStyle name="표준 2 4 2 2 3 3 2 3" xfId="7566"/>
    <cellStyle name="표준 2 4 2 2 3 3 2 3 2" xfId="18814"/>
    <cellStyle name="표준 2 4 2 2 3 3 2 4" xfId="16376"/>
    <cellStyle name="표준 2 4 2 2 3 3 3" xfId="9014"/>
    <cellStyle name="표준 2 4 2 2 3 3 3 2" xfId="20262"/>
    <cellStyle name="표준 2 4 2 2 3 3 4" xfId="6576"/>
    <cellStyle name="표준 2 4 2 2 3 3 4 2" xfId="17824"/>
    <cellStyle name="표준 2 4 2 2 3 3 5" xfId="4135"/>
    <cellStyle name="표준 2 4 2 2 3 3 5 2" xfId="15386"/>
    <cellStyle name="표준 2 4 2 2 3 3 6" xfId="2840"/>
    <cellStyle name="표준 2 4 2 2 3 3 6 2" xfId="14118"/>
    <cellStyle name="표준 2 4 2 2 3 3 7" xfId="12658"/>
    <cellStyle name="표준 2 4 2 2 3 4" xfId="4675"/>
    <cellStyle name="표준 2 4 2 2 3 4 2" xfId="9552"/>
    <cellStyle name="표준 2 4 2 2 3 4 2 2" xfId="20800"/>
    <cellStyle name="표준 2 4 2 2 3 4 3" xfId="7114"/>
    <cellStyle name="표준 2 4 2 2 3 4 3 2" xfId="18362"/>
    <cellStyle name="표준 2 4 2 2 3 4 4" xfId="15924"/>
    <cellStyle name="표준 2 4 2 2 3 5" xfId="8578"/>
    <cellStyle name="표준 2 4 2 2 3 5 2" xfId="19826"/>
    <cellStyle name="표준 2 4 2 2 3 6" xfId="6140"/>
    <cellStyle name="표준 2 4 2 2 3 6 2" xfId="17388"/>
    <cellStyle name="표준 2 4 2 2 3 7" xfId="10961"/>
    <cellStyle name="표준 2 4 2 2 3 7 2" xfId="22208"/>
    <cellStyle name="표준 2 4 2 2 3 8" xfId="3699"/>
    <cellStyle name="표준 2 4 2 2 3 8 2" xfId="14950"/>
    <cellStyle name="표준 2 4 2 2 3 9" xfId="1904"/>
    <cellStyle name="표준 2 4 2 2 3 9 2" xfId="13331"/>
    <cellStyle name="표준 2 4 2 2 4" xfId="406"/>
    <cellStyle name="표준 2 4 2 2 4 2" xfId="1504"/>
    <cellStyle name="표준 2 4 2 2 4 2 2" xfId="4448"/>
    <cellStyle name="표준 2 4 2 2 4 2 2 2" xfId="5440"/>
    <cellStyle name="표준 2 4 2 2 4 2 2 2 2" xfId="10317"/>
    <cellStyle name="표준 2 4 2 2 4 2 2 2 2 2" xfId="21565"/>
    <cellStyle name="표준 2 4 2 2 4 2 2 2 3" xfId="7879"/>
    <cellStyle name="표준 2 4 2 2 4 2 2 2 3 2" xfId="19127"/>
    <cellStyle name="표준 2 4 2 2 4 2 2 2 4" xfId="16689"/>
    <cellStyle name="표준 2 4 2 2 4 2 2 3" xfId="9327"/>
    <cellStyle name="표준 2 4 2 2 4 2 2 3 2" xfId="20575"/>
    <cellStyle name="표준 2 4 2 2 4 2 2 4" xfId="6889"/>
    <cellStyle name="표준 2 4 2 2 4 2 2 4 2" xfId="18137"/>
    <cellStyle name="표준 2 4 2 2 4 2 2 5" xfId="15699"/>
    <cellStyle name="표준 2 4 2 2 4 2 3" xfId="4987"/>
    <cellStyle name="표준 2 4 2 2 4 2 3 2" xfId="9864"/>
    <cellStyle name="표준 2 4 2 2 4 2 3 2 2" xfId="21112"/>
    <cellStyle name="표준 2 4 2 2 4 2 3 3" xfId="7426"/>
    <cellStyle name="표준 2 4 2 2 4 2 3 3 2" xfId="18674"/>
    <cellStyle name="표준 2 4 2 2 4 2 3 4" xfId="16236"/>
    <cellStyle name="표준 2 4 2 2 4 2 4" xfId="8874"/>
    <cellStyle name="표준 2 4 2 2 4 2 4 2" xfId="20122"/>
    <cellStyle name="표준 2 4 2 2 4 2 5" xfId="6436"/>
    <cellStyle name="표준 2 4 2 2 4 2 5 2" xfId="17684"/>
    <cellStyle name="표준 2 4 2 2 4 2 6" xfId="3995"/>
    <cellStyle name="표준 2 4 2 2 4 2 6 2" xfId="15246"/>
    <cellStyle name="표준 2 4 2 2 4 2 7" xfId="3116"/>
    <cellStyle name="표준 2 4 2 2 4 2 7 2" xfId="14394"/>
    <cellStyle name="표준 2 4 2 2 4 2 8" xfId="12934"/>
    <cellStyle name="표준 2 4 2 2 4 3" xfId="1109"/>
    <cellStyle name="표준 2 4 2 2 4 3 2" xfId="5213"/>
    <cellStyle name="표준 2 4 2 2 4 3 2 2" xfId="10090"/>
    <cellStyle name="표준 2 4 2 2 4 3 2 2 2" xfId="21338"/>
    <cellStyle name="표준 2 4 2 2 4 3 2 3" xfId="7652"/>
    <cellStyle name="표준 2 4 2 2 4 3 2 3 2" xfId="18900"/>
    <cellStyle name="표준 2 4 2 2 4 3 2 4" xfId="16462"/>
    <cellStyle name="표준 2 4 2 2 4 3 3" xfId="9100"/>
    <cellStyle name="표준 2 4 2 2 4 3 3 2" xfId="20348"/>
    <cellStyle name="표준 2 4 2 2 4 3 4" xfId="6662"/>
    <cellStyle name="표준 2 4 2 2 4 3 4 2" xfId="17910"/>
    <cellStyle name="표준 2 4 2 2 4 3 5" xfId="4221"/>
    <cellStyle name="표준 2 4 2 2 4 3 5 2" xfId="15472"/>
    <cellStyle name="표준 2 4 2 2 4 3 6" xfId="2730"/>
    <cellStyle name="표준 2 4 2 2 4 3 6 2" xfId="14008"/>
    <cellStyle name="표준 2 4 2 2 4 3 7" xfId="12548"/>
    <cellStyle name="표준 2 4 2 2 4 4" xfId="4761"/>
    <cellStyle name="표준 2 4 2 2 4 4 2" xfId="9638"/>
    <cellStyle name="표준 2 4 2 2 4 4 2 2" xfId="20886"/>
    <cellStyle name="표준 2 4 2 2 4 4 3" xfId="7200"/>
    <cellStyle name="표준 2 4 2 2 4 4 3 2" xfId="18448"/>
    <cellStyle name="표준 2 4 2 2 4 4 4" xfId="16010"/>
    <cellStyle name="표준 2 4 2 2 4 5" xfId="8648"/>
    <cellStyle name="표준 2 4 2 2 4 5 2" xfId="19896"/>
    <cellStyle name="표준 2 4 2 2 4 6" xfId="6210"/>
    <cellStyle name="표준 2 4 2 2 4 6 2" xfId="17458"/>
    <cellStyle name="표준 2 4 2 2 4 7" xfId="3769"/>
    <cellStyle name="표준 2 4 2 2 4 7 2" xfId="15020"/>
    <cellStyle name="표준 2 4 2 2 4 8" xfId="2078"/>
    <cellStyle name="표준 2 4 2 2 4 8 2" xfId="13505"/>
    <cellStyle name="표준 2 4 2 2 4 9" xfId="12045"/>
    <cellStyle name="표준 2 4 2 2 5" xfId="355"/>
    <cellStyle name="표준 2 4 2 2 5 2" xfId="1732"/>
    <cellStyle name="표준 2 4 2 2 5 2 2" xfId="5273"/>
    <cellStyle name="표준 2 4 2 2 5 2 2 2" xfId="10150"/>
    <cellStyle name="표준 2 4 2 2 5 2 2 2 2" xfId="21398"/>
    <cellStyle name="표준 2 4 2 2 5 2 2 3" xfId="7712"/>
    <cellStyle name="표준 2 4 2 2 5 2 2 3 2" xfId="18960"/>
    <cellStyle name="표준 2 4 2 2 5 2 2 4" xfId="16522"/>
    <cellStyle name="표준 2 4 2 2 5 2 3" xfId="9160"/>
    <cellStyle name="표준 2 4 2 2 5 2 3 2" xfId="20408"/>
    <cellStyle name="표준 2 4 2 2 5 2 4" xfId="6722"/>
    <cellStyle name="표준 2 4 2 2 5 2 4 2" xfId="17970"/>
    <cellStyle name="표준 2 4 2 2 5 2 5" xfId="4281"/>
    <cellStyle name="표준 2 4 2 2 5 2 5 2" xfId="15532"/>
    <cellStyle name="표준 2 4 2 2 5 2 6" xfId="3344"/>
    <cellStyle name="표준 2 4 2 2 5 2 6 2" xfId="14622"/>
    <cellStyle name="표준 2 4 2 2 5 2 7" xfId="13162"/>
    <cellStyle name="표준 2 4 2 2 5 3" xfId="1350"/>
    <cellStyle name="표준 2 4 2 2 5 3 2" xfId="9697"/>
    <cellStyle name="표준 2 4 2 2 5 3 2 2" xfId="20945"/>
    <cellStyle name="표준 2 4 2 2 5 3 3" xfId="7259"/>
    <cellStyle name="표준 2 4 2 2 5 3 3 2" xfId="18507"/>
    <cellStyle name="표준 2 4 2 2 5 3 4" xfId="4820"/>
    <cellStyle name="표준 2 4 2 2 5 3 4 2" xfId="16069"/>
    <cellStyle name="표준 2 4 2 2 5 3 5" xfId="2971"/>
    <cellStyle name="표준 2 4 2 2 5 3 5 2" xfId="14249"/>
    <cellStyle name="표준 2 4 2 2 5 3 6" xfId="12789"/>
    <cellStyle name="표준 2 4 2 2 5 4" xfId="8707"/>
    <cellStyle name="표준 2 4 2 2 5 4 2" xfId="19955"/>
    <cellStyle name="표준 2 4 2 2 5 5" xfId="6269"/>
    <cellStyle name="표준 2 4 2 2 5 5 2" xfId="17517"/>
    <cellStyle name="표준 2 4 2 2 5 6" xfId="3828"/>
    <cellStyle name="표준 2 4 2 2 5 6 2" xfId="15079"/>
    <cellStyle name="표준 2 4 2 2 5 7" xfId="2027"/>
    <cellStyle name="표준 2 4 2 2 5 7 2" xfId="13454"/>
    <cellStyle name="표준 2 4 2 2 5 8" xfId="11994"/>
    <cellStyle name="표준 2 4 2 2 6" xfId="696"/>
    <cellStyle name="표준 2 4 2 2 6 2" xfId="1440"/>
    <cellStyle name="표준 2 4 2 2 6 2 2" xfId="9923"/>
    <cellStyle name="표준 2 4 2 2 6 2 2 2" xfId="21171"/>
    <cellStyle name="표준 2 4 2 2 6 2 3" xfId="7485"/>
    <cellStyle name="표준 2 4 2 2 6 2 3 2" xfId="18733"/>
    <cellStyle name="표준 2 4 2 2 6 2 4" xfId="5046"/>
    <cellStyle name="표준 2 4 2 2 6 2 4 2" xfId="16295"/>
    <cellStyle name="표준 2 4 2 2 6 2 5" xfId="3054"/>
    <cellStyle name="표준 2 4 2 2 6 2 5 2" xfId="14332"/>
    <cellStyle name="표준 2 4 2 2 6 2 6" xfId="12872"/>
    <cellStyle name="표준 2 4 2 2 6 3" xfId="8933"/>
    <cellStyle name="표준 2 4 2 2 6 3 2" xfId="20181"/>
    <cellStyle name="표준 2 4 2 2 6 4" xfId="6495"/>
    <cellStyle name="표준 2 4 2 2 6 4 2" xfId="17743"/>
    <cellStyle name="표준 2 4 2 2 6 5" xfId="4054"/>
    <cellStyle name="표준 2 4 2 2 6 5 2" xfId="15305"/>
    <cellStyle name="표준 2 4 2 2 6 6" xfId="2328"/>
    <cellStyle name="표준 2 4 2 2 6 6 2" xfId="13741"/>
    <cellStyle name="표준 2 4 2 2 6 7" xfId="12281"/>
    <cellStyle name="표준 2 4 2 2 7" xfId="1058"/>
    <cellStyle name="표준 2 4 2 2 7 2" xfId="5534"/>
    <cellStyle name="표준 2 4 2 2 7 2 2" xfId="10411"/>
    <cellStyle name="표준 2 4 2 2 7 2 2 2" xfId="21659"/>
    <cellStyle name="표준 2 4 2 2 7 2 3" xfId="7973"/>
    <cellStyle name="표준 2 4 2 2 7 2 3 2" xfId="19221"/>
    <cellStyle name="표준 2 4 2 2 7 2 4" xfId="16783"/>
    <cellStyle name="표준 2 4 2 2 7 3" xfId="9421"/>
    <cellStyle name="표준 2 4 2 2 7 3 2" xfId="20669"/>
    <cellStyle name="표준 2 4 2 2 7 4" xfId="6983"/>
    <cellStyle name="표준 2 4 2 2 7 4 2" xfId="18231"/>
    <cellStyle name="표준 2 4 2 2 7 5" xfId="4544"/>
    <cellStyle name="표준 2 4 2 2 7 5 2" xfId="15793"/>
    <cellStyle name="표준 2 4 2 2 7 6" xfId="2679"/>
    <cellStyle name="표준 2 4 2 2 7 6 2" xfId="13957"/>
    <cellStyle name="표준 2 4 2 2 7 7" xfId="12497"/>
    <cellStyle name="표준 2 4 2 2 8" xfId="994"/>
    <cellStyle name="표준 2 4 2 2 8 2" xfId="9471"/>
    <cellStyle name="표준 2 4 2 2 8 2 2" xfId="20719"/>
    <cellStyle name="표준 2 4 2 2 8 3" xfId="7033"/>
    <cellStyle name="표준 2 4 2 2 8 3 2" xfId="18281"/>
    <cellStyle name="표준 2 4 2 2 8 4" xfId="4594"/>
    <cellStyle name="표준 2 4 2 2 8 4 2" xfId="15843"/>
    <cellStyle name="표준 2 4 2 2 8 5" xfId="2615"/>
    <cellStyle name="표준 2 4 2 2 8 5 2" xfId="13893"/>
    <cellStyle name="표준 2 4 2 2 8 6" xfId="12433"/>
    <cellStyle name="표준 2 4 2 2 9" xfId="5618"/>
    <cellStyle name="표준 2 4 2 2 9 2" xfId="10495"/>
    <cellStyle name="표준 2 4 2 2 9 2 2" xfId="21743"/>
    <cellStyle name="표준 2 4 2 2 9 3" xfId="8057"/>
    <cellStyle name="표준 2 4 2 2 9 3 2" xfId="19305"/>
    <cellStyle name="표준 2 4 2 2 9 4" xfId="16867"/>
    <cellStyle name="표준 2 4 2 20" xfId="11742"/>
    <cellStyle name="표준 2 4 2 3" xfId="105"/>
    <cellStyle name="표준 2 4 2 3 10" xfId="3512"/>
    <cellStyle name="표준 2 4 2 3 10 2" xfId="14784"/>
    <cellStyle name="표준 2 4 2 3 11" xfId="1821"/>
    <cellStyle name="표준 2 4 2 3 11 2" xfId="13250"/>
    <cellStyle name="표준 2 4 2 3 12" xfId="11790"/>
    <cellStyle name="표준 2 4 2 3 2" xfId="261"/>
    <cellStyle name="표준 2 4 2 3 2 10" xfId="11900"/>
    <cellStyle name="표준 2 4 2 3 2 2" xfId="545"/>
    <cellStyle name="표준 2 4 2 3 2 2 2" xfId="1633"/>
    <cellStyle name="표준 2 4 2 3 2 2 2 2" xfId="5481"/>
    <cellStyle name="표준 2 4 2 3 2 2 2 2 2" xfId="10358"/>
    <cellStyle name="표준 2 4 2 3 2 2 2 2 2 2" xfId="21606"/>
    <cellStyle name="표준 2 4 2 3 2 2 2 2 3" xfId="7920"/>
    <cellStyle name="표준 2 4 2 3 2 2 2 2 3 2" xfId="19168"/>
    <cellStyle name="표준 2 4 2 3 2 2 2 2 4" xfId="16730"/>
    <cellStyle name="표준 2 4 2 3 2 2 2 3" xfId="9368"/>
    <cellStyle name="표준 2 4 2 3 2 2 2 3 2" xfId="20616"/>
    <cellStyle name="표준 2 4 2 3 2 2 2 4" xfId="6930"/>
    <cellStyle name="표준 2 4 2 3 2 2 2 4 2" xfId="18178"/>
    <cellStyle name="표준 2 4 2 3 2 2 2 5" xfId="4490"/>
    <cellStyle name="표준 2 4 2 3 2 2 2 5 2" xfId="15740"/>
    <cellStyle name="표준 2 4 2 3 2 2 2 6" xfId="3245"/>
    <cellStyle name="표준 2 4 2 3 2 2 2 6 2" xfId="14523"/>
    <cellStyle name="표준 2 4 2 3 2 2 2 7" xfId="13063"/>
    <cellStyle name="표준 2 4 2 3 2 2 3" xfId="5026"/>
    <cellStyle name="표준 2 4 2 3 2 2 3 2" xfId="9903"/>
    <cellStyle name="표준 2 4 2 3 2 2 3 2 2" xfId="21151"/>
    <cellStyle name="표준 2 4 2 3 2 2 3 3" xfId="7465"/>
    <cellStyle name="표준 2 4 2 3 2 2 3 3 2" xfId="18713"/>
    <cellStyle name="표준 2 4 2 3 2 2 3 4" xfId="16275"/>
    <cellStyle name="표준 2 4 2 3 2 2 4" xfId="8913"/>
    <cellStyle name="표준 2 4 2 3 2 2 4 2" xfId="20161"/>
    <cellStyle name="표준 2 4 2 3 2 2 5" xfId="6475"/>
    <cellStyle name="표준 2 4 2 3 2 2 5 2" xfId="17723"/>
    <cellStyle name="표준 2 4 2 3 2 2 6" xfId="4034"/>
    <cellStyle name="표준 2 4 2 3 2 2 6 2" xfId="15285"/>
    <cellStyle name="표준 2 4 2 3 2 2 7" xfId="2217"/>
    <cellStyle name="표준 2 4 2 3 2 2 7 2" xfId="13644"/>
    <cellStyle name="표준 2 4 2 3 2 2 8" xfId="12184"/>
    <cellStyle name="표준 2 4 2 3 2 3" xfId="1248"/>
    <cellStyle name="표준 2 4 2 3 2 3 2" xfId="5252"/>
    <cellStyle name="표준 2 4 2 3 2 3 2 2" xfId="10129"/>
    <cellStyle name="표준 2 4 2 3 2 3 2 2 2" xfId="21377"/>
    <cellStyle name="표준 2 4 2 3 2 3 2 3" xfId="7691"/>
    <cellStyle name="표준 2 4 2 3 2 3 2 3 2" xfId="18939"/>
    <cellStyle name="표준 2 4 2 3 2 3 2 4" xfId="16501"/>
    <cellStyle name="표준 2 4 2 3 2 3 3" xfId="9139"/>
    <cellStyle name="표준 2 4 2 3 2 3 3 2" xfId="20387"/>
    <cellStyle name="표준 2 4 2 3 2 3 4" xfId="6701"/>
    <cellStyle name="표준 2 4 2 3 2 3 4 2" xfId="17949"/>
    <cellStyle name="표준 2 4 2 3 2 3 5" xfId="4260"/>
    <cellStyle name="표준 2 4 2 3 2 3 5 2" xfId="15511"/>
    <cellStyle name="표준 2 4 2 3 2 3 6" xfId="2869"/>
    <cellStyle name="표준 2 4 2 3 2 3 6 2" xfId="14147"/>
    <cellStyle name="표준 2 4 2 3 2 3 7" xfId="12687"/>
    <cellStyle name="표준 2 4 2 3 2 4" xfId="4800"/>
    <cellStyle name="표준 2 4 2 3 2 4 2" xfId="9677"/>
    <cellStyle name="표준 2 4 2 3 2 4 2 2" xfId="20925"/>
    <cellStyle name="표준 2 4 2 3 2 4 3" xfId="7239"/>
    <cellStyle name="표준 2 4 2 3 2 4 3 2" xfId="18487"/>
    <cellStyle name="표준 2 4 2 3 2 4 4" xfId="16049"/>
    <cellStyle name="표준 2 4 2 3 2 5" xfId="8687"/>
    <cellStyle name="표준 2 4 2 3 2 5 2" xfId="19935"/>
    <cellStyle name="표준 2 4 2 3 2 6" xfId="6249"/>
    <cellStyle name="표준 2 4 2 3 2 6 2" xfId="17497"/>
    <cellStyle name="표준 2 4 2 3 2 7" xfId="11043"/>
    <cellStyle name="표준 2 4 2 3 2 7 2" xfId="22290"/>
    <cellStyle name="표준 2 4 2 3 2 8" xfId="3808"/>
    <cellStyle name="표준 2 4 2 3 2 8 2" xfId="15059"/>
    <cellStyle name="표준 2 4 2 3 2 9" xfId="1933"/>
    <cellStyle name="표준 2 4 2 3 2 9 2" xfId="13360"/>
    <cellStyle name="표준 2 4 2 3 3" xfId="435"/>
    <cellStyle name="표준 2 4 2 3 3 2" xfId="1528"/>
    <cellStyle name="표준 2 4 2 3 3 2 2" xfId="5285"/>
    <cellStyle name="표준 2 4 2 3 3 2 2 2" xfId="10162"/>
    <cellStyle name="표준 2 4 2 3 3 2 2 2 2" xfId="21410"/>
    <cellStyle name="표준 2 4 2 3 3 2 2 3" xfId="7724"/>
    <cellStyle name="표준 2 4 2 3 3 2 2 3 2" xfId="18972"/>
    <cellStyle name="표준 2 4 2 3 3 2 2 4" xfId="16534"/>
    <cellStyle name="표준 2 4 2 3 3 2 3" xfId="9172"/>
    <cellStyle name="표준 2 4 2 3 3 2 3 2" xfId="20420"/>
    <cellStyle name="표준 2 4 2 3 3 2 4" xfId="6734"/>
    <cellStyle name="표준 2 4 2 3 3 2 4 2" xfId="17982"/>
    <cellStyle name="표준 2 4 2 3 3 2 5" xfId="4293"/>
    <cellStyle name="표준 2 4 2 3 3 2 5 2" xfId="15544"/>
    <cellStyle name="표준 2 4 2 3 3 2 6" xfId="3140"/>
    <cellStyle name="표준 2 4 2 3 3 2 6 2" xfId="14418"/>
    <cellStyle name="표준 2 4 2 3 3 2 7" xfId="12958"/>
    <cellStyle name="표준 2 4 2 3 3 3" xfId="4832"/>
    <cellStyle name="표준 2 4 2 3 3 3 2" xfId="9709"/>
    <cellStyle name="표준 2 4 2 3 3 3 2 2" xfId="20957"/>
    <cellStyle name="표준 2 4 2 3 3 3 3" xfId="7271"/>
    <cellStyle name="표준 2 4 2 3 3 3 3 2" xfId="18519"/>
    <cellStyle name="표준 2 4 2 3 3 3 4" xfId="16081"/>
    <cellStyle name="표준 2 4 2 3 3 4" xfId="8719"/>
    <cellStyle name="표준 2 4 2 3 3 4 2" xfId="19967"/>
    <cellStyle name="표준 2 4 2 3 3 5" xfId="6281"/>
    <cellStyle name="표준 2 4 2 3 3 5 2" xfId="17529"/>
    <cellStyle name="표준 2 4 2 3 3 6" xfId="3840"/>
    <cellStyle name="표준 2 4 2 3 3 6 2" xfId="15091"/>
    <cellStyle name="표준 2 4 2 3 3 7" xfId="2107"/>
    <cellStyle name="표준 2 4 2 3 3 7 2" xfId="13534"/>
    <cellStyle name="표준 2 4 2 3 3 8" xfId="12074"/>
    <cellStyle name="표준 2 4 2 3 4" xfId="786"/>
    <cellStyle name="표준 2 4 2 3 4 2" xfId="5058"/>
    <cellStyle name="표준 2 4 2 3 4 2 2" xfId="9935"/>
    <cellStyle name="표준 2 4 2 3 4 2 2 2" xfId="21183"/>
    <cellStyle name="표준 2 4 2 3 4 2 3" xfId="7497"/>
    <cellStyle name="표준 2 4 2 3 4 2 3 2" xfId="18745"/>
    <cellStyle name="표준 2 4 2 3 4 2 4" xfId="16307"/>
    <cellStyle name="표준 2 4 2 3 4 3" xfId="8945"/>
    <cellStyle name="표준 2 4 2 3 4 3 2" xfId="20193"/>
    <cellStyle name="표준 2 4 2 3 4 4" xfId="6507"/>
    <cellStyle name="표준 2 4 2 3 4 4 2" xfId="17755"/>
    <cellStyle name="표준 2 4 2 3 4 5" xfId="4066"/>
    <cellStyle name="표준 2 4 2 3 4 5 2" xfId="15317"/>
    <cellStyle name="표준 2 4 2 3 4 6" xfId="2413"/>
    <cellStyle name="표준 2 4 2 3 4 6 2" xfId="13808"/>
    <cellStyle name="표준 2 4 2 3 4 7" xfId="12348"/>
    <cellStyle name="표준 2 4 2 3 5" xfId="1138"/>
    <cellStyle name="표준 2 4 2 3 5 2" xfId="9483"/>
    <cellStyle name="표준 2 4 2 3 5 2 2" xfId="20731"/>
    <cellStyle name="표준 2 4 2 3 5 3" xfId="7045"/>
    <cellStyle name="표준 2 4 2 3 5 3 2" xfId="18293"/>
    <cellStyle name="표준 2 4 2 3 5 4" xfId="4606"/>
    <cellStyle name="표준 2 4 2 3 5 4 2" xfId="15855"/>
    <cellStyle name="표준 2 4 2 3 5 5" xfId="2759"/>
    <cellStyle name="표준 2 4 2 3 5 5 2" xfId="14037"/>
    <cellStyle name="표준 2 4 2 3 5 6" xfId="12577"/>
    <cellStyle name="표준 2 4 2 3 6" xfId="3648"/>
    <cellStyle name="표준 2 4 2 3 6 2" xfId="8545"/>
    <cellStyle name="표준 2 4 2 3 6 2 2" xfId="19793"/>
    <cellStyle name="표준 2 4 2 3 6 3" xfId="6107"/>
    <cellStyle name="표준 2 4 2 3 6 3 2" xfId="17355"/>
    <cellStyle name="표준 2 4 2 3 6 4" xfId="14917"/>
    <cellStyle name="표준 2 4 2 3 7" xfId="8412"/>
    <cellStyle name="표준 2 4 2 3 7 2" xfId="19660"/>
    <cellStyle name="표준 2 4 2 3 8" xfId="5974"/>
    <cellStyle name="표준 2 4 2 3 8 2" xfId="17222"/>
    <cellStyle name="표준 2 4 2 3 9" xfId="10858"/>
    <cellStyle name="표준 2 4 2 3 9 2" xfId="22106"/>
    <cellStyle name="표준 2 4 2 4" xfId="213"/>
    <cellStyle name="표준 2 4 2 4 10" xfId="1885"/>
    <cellStyle name="표준 2 4 2 4 10 2" xfId="13312"/>
    <cellStyle name="표준 2 4 2 4 11" xfId="11852"/>
    <cellStyle name="표준 2 4 2 4 2" xfId="497"/>
    <cellStyle name="표준 2 4 2 4 2 2" xfId="1585"/>
    <cellStyle name="표준 2 4 2 4 2 2 2" xfId="5353"/>
    <cellStyle name="표준 2 4 2 4 2 2 2 2" xfId="10230"/>
    <cellStyle name="표준 2 4 2 4 2 2 2 2 2" xfId="21478"/>
    <cellStyle name="표준 2 4 2 4 2 2 2 3" xfId="7792"/>
    <cellStyle name="표준 2 4 2 4 2 2 2 3 2" xfId="19040"/>
    <cellStyle name="표준 2 4 2 4 2 2 2 4" xfId="16602"/>
    <cellStyle name="표준 2 4 2 4 2 2 3" xfId="9240"/>
    <cellStyle name="표준 2 4 2 4 2 2 3 2" xfId="20488"/>
    <cellStyle name="표준 2 4 2 4 2 2 4" xfId="6802"/>
    <cellStyle name="표준 2 4 2 4 2 2 4 2" xfId="18050"/>
    <cellStyle name="표준 2 4 2 4 2 2 5" xfId="4361"/>
    <cellStyle name="표준 2 4 2 4 2 2 5 2" xfId="15612"/>
    <cellStyle name="표준 2 4 2 4 2 2 6" xfId="3197"/>
    <cellStyle name="표준 2 4 2 4 2 2 6 2" xfId="14475"/>
    <cellStyle name="표준 2 4 2 4 2 2 7" xfId="13015"/>
    <cellStyle name="표준 2 4 2 4 2 3" xfId="4900"/>
    <cellStyle name="표준 2 4 2 4 2 3 2" xfId="9777"/>
    <cellStyle name="표준 2 4 2 4 2 3 2 2" xfId="21025"/>
    <cellStyle name="표준 2 4 2 4 2 3 3" xfId="7339"/>
    <cellStyle name="표준 2 4 2 4 2 3 3 2" xfId="18587"/>
    <cellStyle name="표준 2 4 2 4 2 3 4" xfId="16149"/>
    <cellStyle name="표준 2 4 2 4 2 4" xfId="8787"/>
    <cellStyle name="표준 2 4 2 4 2 4 2" xfId="20035"/>
    <cellStyle name="표준 2 4 2 4 2 5" xfId="6349"/>
    <cellStyle name="표준 2 4 2 4 2 5 2" xfId="17597"/>
    <cellStyle name="표준 2 4 2 4 2 6" xfId="11083"/>
    <cellStyle name="표준 2 4 2 4 2 6 2" xfId="22330"/>
    <cellStyle name="표준 2 4 2 4 2 7" xfId="3908"/>
    <cellStyle name="표준 2 4 2 4 2 7 2" xfId="15159"/>
    <cellStyle name="표준 2 4 2 4 2 8" xfId="2169"/>
    <cellStyle name="표준 2 4 2 4 2 8 2" xfId="13596"/>
    <cellStyle name="표준 2 4 2 4 2 9" xfId="12136"/>
    <cellStyle name="표준 2 4 2 4 3" xfId="1200"/>
    <cellStyle name="표준 2 4 2 4 3 2" xfId="5126"/>
    <cellStyle name="표준 2 4 2 4 3 2 2" xfId="10003"/>
    <cellStyle name="표준 2 4 2 4 3 2 2 2" xfId="21251"/>
    <cellStyle name="표준 2 4 2 4 3 2 3" xfId="7565"/>
    <cellStyle name="표준 2 4 2 4 3 2 3 2" xfId="18813"/>
    <cellStyle name="표준 2 4 2 4 3 2 4" xfId="16375"/>
    <cellStyle name="표준 2 4 2 4 3 3" xfId="9013"/>
    <cellStyle name="표준 2 4 2 4 3 3 2" xfId="20261"/>
    <cellStyle name="표준 2 4 2 4 3 4" xfId="6575"/>
    <cellStyle name="표준 2 4 2 4 3 4 2" xfId="17823"/>
    <cellStyle name="표준 2 4 2 4 3 5" xfId="4134"/>
    <cellStyle name="표준 2 4 2 4 3 5 2" xfId="15385"/>
    <cellStyle name="표준 2 4 2 4 3 6" xfId="2821"/>
    <cellStyle name="표준 2 4 2 4 3 6 2" xfId="14099"/>
    <cellStyle name="표준 2 4 2 4 3 7" xfId="12639"/>
    <cellStyle name="표준 2 4 2 4 4" xfId="4674"/>
    <cellStyle name="표준 2 4 2 4 4 2" xfId="9551"/>
    <cellStyle name="표준 2 4 2 4 4 2 2" xfId="20799"/>
    <cellStyle name="표준 2 4 2 4 4 3" xfId="7113"/>
    <cellStyle name="표준 2 4 2 4 4 3 2" xfId="18361"/>
    <cellStyle name="표준 2 4 2 4 4 4" xfId="15923"/>
    <cellStyle name="표준 2 4 2 4 5" xfId="3698"/>
    <cellStyle name="표준 2 4 2 4 5 2" xfId="8577"/>
    <cellStyle name="표준 2 4 2 4 5 2 2" xfId="19825"/>
    <cellStyle name="표준 2 4 2 4 5 3" xfId="6139"/>
    <cellStyle name="표준 2 4 2 4 5 3 2" xfId="17387"/>
    <cellStyle name="표준 2 4 2 4 5 4" xfId="14949"/>
    <cellStyle name="표준 2 4 2 4 6" xfId="8452"/>
    <cellStyle name="표준 2 4 2 4 6 2" xfId="19700"/>
    <cellStyle name="표준 2 4 2 4 7" xfId="6014"/>
    <cellStyle name="표준 2 4 2 4 7 2" xfId="17262"/>
    <cellStyle name="표준 2 4 2 4 8" xfId="10898"/>
    <cellStyle name="표준 2 4 2 4 8 2" xfId="22146"/>
    <cellStyle name="표준 2 4 2 4 9" xfId="3553"/>
    <cellStyle name="표준 2 4 2 4 9 2" xfId="14824"/>
    <cellStyle name="표준 2 4 2 5" xfId="387"/>
    <cellStyle name="표준 2 4 2 5 10" xfId="12026"/>
    <cellStyle name="표준 2 4 2 5 2" xfId="1485"/>
    <cellStyle name="표준 2 4 2 5 2 2" xfId="4447"/>
    <cellStyle name="표준 2 4 2 5 2 2 2" xfId="5439"/>
    <cellStyle name="표준 2 4 2 5 2 2 2 2" xfId="10316"/>
    <cellStyle name="표준 2 4 2 5 2 2 2 2 2" xfId="21564"/>
    <cellStyle name="표준 2 4 2 5 2 2 2 3" xfId="7878"/>
    <cellStyle name="표준 2 4 2 5 2 2 2 3 2" xfId="19126"/>
    <cellStyle name="표준 2 4 2 5 2 2 2 4" xfId="16688"/>
    <cellStyle name="표준 2 4 2 5 2 2 3" xfId="9326"/>
    <cellStyle name="표준 2 4 2 5 2 2 3 2" xfId="20574"/>
    <cellStyle name="표준 2 4 2 5 2 2 4" xfId="6888"/>
    <cellStyle name="표준 2 4 2 5 2 2 4 2" xfId="18136"/>
    <cellStyle name="표준 2 4 2 5 2 2 5" xfId="15698"/>
    <cellStyle name="표준 2 4 2 5 2 3" xfId="4986"/>
    <cellStyle name="표준 2 4 2 5 2 3 2" xfId="9863"/>
    <cellStyle name="표준 2 4 2 5 2 3 2 2" xfId="21111"/>
    <cellStyle name="표준 2 4 2 5 2 3 3" xfId="7425"/>
    <cellStyle name="표준 2 4 2 5 2 3 3 2" xfId="18673"/>
    <cellStyle name="표준 2 4 2 5 2 3 4" xfId="16235"/>
    <cellStyle name="표준 2 4 2 5 2 4" xfId="8873"/>
    <cellStyle name="표준 2 4 2 5 2 4 2" xfId="20121"/>
    <cellStyle name="표준 2 4 2 5 2 5" xfId="6435"/>
    <cellStyle name="표준 2 4 2 5 2 5 2" xfId="17683"/>
    <cellStyle name="표준 2 4 2 5 2 6" xfId="10960"/>
    <cellStyle name="표준 2 4 2 5 2 6 2" xfId="22207"/>
    <cellStyle name="표준 2 4 2 5 2 7" xfId="3994"/>
    <cellStyle name="표준 2 4 2 5 2 7 2" xfId="15245"/>
    <cellStyle name="표준 2 4 2 5 2 8" xfId="3097"/>
    <cellStyle name="표준 2 4 2 5 2 8 2" xfId="14375"/>
    <cellStyle name="표준 2 4 2 5 2 9" xfId="12915"/>
    <cellStyle name="표준 2 4 2 5 3" xfId="1090"/>
    <cellStyle name="표준 2 4 2 5 3 2" xfId="5212"/>
    <cellStyle name="표준 2 4 2 5 3 2 2" xfId="10089"/>
    <cellStyle name="표준 2 4 2 5 3 2 2 2" xfId="21337"/>
    <cellStyle name="표준 2 4 2 5 3 2 3" xfId="7651"/>
    <cellStyle name="표준 2 4 2 5 3 2 3 2" xfId="18899"/>
    <cellStyle name="표준 2 4 2 5 3 2 4" xfId="16461"/>
    <cellStyle name="표준 2 4 2 5 3 3" xfId="9099"/>
    <cellStyle name="표준 2 4 2 5 3 3 2" xfId="20347"/>
    <cellStyle name="표준 2 4 2 5 3 4" xfId="6661"/>
    <cellStyle name="표준 2 4 2 5 3 4 2" xfId="17909"/>
    <cellStyle name="표준 2 4 2 5 3 5" xfId="4220"/>
    <cellStyle name="표준 2 4 2 5 3 5 2" xfId="15471"/>
    <cellStyle name="표준 2 4 2 5 3 6" xfId="2711"/>
    <cellStyle name="표준 2 4 2 5 3 6 2" xfId="13989"/>
    <cellStyle name="표준 2 4 2 5 3 7" xfId="12529"/>
    <cellStyle name="표준 2 4 2 5 4" xfId="4760"/>
    <cellStyle name="표준 2 4 2 5 4 2" xfId="9637"/>
    <cellStyle name="표준 2 4 2 5 4 2 2" xfId="20885"/>
    <cellStyle name="표준 2 4 2 5 4 3" xfId="7199"/>
    <cellStyle name="표준 2 4 2 5 4 3 2" xfId="18447"/>
    <cellStyle name="표준 2 4 2 5 4 4" xfId="16009"/>
    <cellStyle name="표준 2 4 2 5 5" xfId="8647"/>
    <cellStyle name="표준 2 4 2 5 5 2" xfId="19895"/>
    <cellStyle name="표준 2 4 2 5 6" xfId="6209"/>
    <cellStyle name="표준 2 4 2 5 6 2" xfId="17457"/>
    <cellStyle name="표준 2 4 2 5 7" xfId="10775"/>
    <cellStyle name="표준 2 4 2 5 7 2" xfId="22023"/>
    <cellStyle name="표준 2 4 2 5 8" xfId="3768"/>
    <cellStyle name="표준 2 4 2 5 8 2" xfId="15019"/>
    <cellStyle name="표준 2 4 2 5 9" xfId="2059"/>
    <cellStyle name="표준 2 4 2 5 9 2" xfId="13486"/>
    <cellStyle name="표준 2 4 2 6" xfId="325"/>
    <cellStyle name="표준 2 4 2 6 2" xfId="1731"/>
    <cellStyle name="표준 2 4 2 6 2 2" xfId="5263"/>
    <cellStyle name="표준 2 4 2 6 2 2 2" xfId="10140"/>
    <cellStyle name="표준 2 4 2 6 2 2 2 2" xfId="21388"/>
    <cellStyle name="표준 2 4 2 6 2 2 3" xfId="7702"/>
    <cellStyle name="표준 2 4 2 6 2 2 3 2" xfId="18950"/>
    <cellStyle name="표준 2 4 2 6 2 2 4" xfId="16512"/>
    <cellStyle name="표준 2 4 2 6 2 3" xfId="9150"/>
    <cellStyle name="표준 2 4 2 6 2 3 2" xfId="20398"/>
    <cellStyle name="표준 2 4 2 6 2 4" xfId="6712"/>
    <cellStyle name="표준 2 4 2 6 2 4 2" xfId="17960"/>
    <cellStyle name="표준 2 4 2 6 2 5" xfId="4271"/>
    <cellStyle name="표준 2 4 2 6 2 5 2" xfId="15522"/>
    <cellStyle name="표준 2 4 2 6 2 6" xfId="3343"/>
    <cellStyle name="표준 2 4 2 6 2 6 2" xfId="14621"/>
    <cellStyle name="표준 2 4 2 6 2 7" xfId="13161"/>
    <cellStyle name="표준 2 4 2 6 3" xfId="1349"/>
    <cellStyle name="표준 2 4 2 6 3 2" xfId="9687"/>
    <cellStyle name="표준 2 4 2 6 3 2 2" xfId="20935"/>
    <cellStyle name="표준 2 4 2 6 3 3" xfId="7249"/>
    <cellStyle name="표준 2 4 2 6 3 3 2" xfId="18497"/>
    <cellStyle name="표준 2 4 2 6 3 4" xfId="4810"/>
    <cellStyle name="표준 2 4 2 6 3 4 2" xfId="16059"/>
    <cellStyle name="표준 2 4 2 6 3 5" xfId="2970"/>
    <cellStyle name="표준 2 4 2 6 3 5 2" xfId="14248"/>
    <cellStyle name="표준 2 4 2 6 3 6" xfId="12788"/>
    <cellStyle name="표준 2 4 2 6 4" xfId="8697"/>
    <cellStyle name="표준 2 4 2 6 4 2" xfId="19945"/>
    <cellStyle name="표준 2 4 2 6 5" xfId="6259"/>
    <cellStyle name="표준 2 4 2 6 5 2" xfId="17507"/>
    <cellStyle name="표준 2 4 2 6 6" xfId="10909"/>
    <cellStyle name="표준 2 4 2 6 6 2" xfId="22156"/>
    <cellStyle name="표준 2 4 2 6 7" xfId="3818"/>
    <cellStyle name="표준 2 4 2 6 7 2" xfId="15069"/>
    <cellStyle name="표준 2 4 2 6 8" xfId="1997"/>
    <cellStyle name="표준 2 4 2 6 8 2" xfId="13424"/>
    <cellStyle name="표준 2 4 2 6 9" xfId="11964"/>
    <cellStyle name="표준 2 4 2 7" xfId="618"/>
    <cellStyle name="표준 2 4 2 7 2" xfId="1439"/>
    <cellStyle name="표준 2 4 2 7 2 2" xfId="9913"/>
    <cellStyle name="표준 2 4 2 7 2 2 2" xfId="21161"/>
    <cellStyle name="표준 2 4 2 7 2 3" xfId="7475"/>
    <cellStyle name="표준 2 4 2 7 2 3 2" xfId="18723"/>
    <cellStyle name="표준 2 4 2 7 2 4" xfId="5036"/>
    <cellStyle name="표준 2 4 2 7 2 4 2" xfId="16285"/>
    <cellStyle name="표준 2 4 2 7 2 5" xfId="3053"/>
    <cellStyle name="표준 2 4 2 7 2 5 2" xfId="14331"/>
    <cellStyle name="표준 2 4 2 7 2 6" xfId="12871"/>
    <cellStyle name="표준 2 4 2 7 3" xfId="8923"/>
    <cellStyle name="표준 2 4 2 7 3 2" xfId="20171"/>
    <cellStyle name="표준 2 4 2 7 4" xfId="6485"/>
    <cellStyle name="표준 2 4 2 7 4 2" xfId="17733"/>
    <cellStyle name="표준 2 4 2 7 5" xfId="4044"/>
    <cellStyle name="표준 2 4 2 7 5 2" xfId="15295"/>
    <cellStyle name="표준 2 4 2 7 6" xfId="2290"/>
    <cellStyle name="표준 2 4 2 7 6 2" xfId="13709"/>
    <cellStyle name="표준 2 4 2 7 7" xfId="12249"/>
    <cellStyle name="표준 2 4 2 8" xfId="1028"/>
    <cellStyle name="표준 2 4 2 8 2" xfId="5533"/>
    <cellStyle name="표준 2 4 2 8 2 2" xfId="10410"/>
    <cellStyle name="표준 2 4 2 8 2 2 2" xfId="21658"/>
    <cellStyle name="표준 2 4 2 8 2 3" xfId="7972"/>
    <cellStyle name="표준 2 4 2 8 2 3 2" xfId="19220"/>
    <cellStyle name="표준 2 4 2 8 2 4" xfId="16782"/>
    <cellStyle name="표준 2 4 2 8 3" xfId="9420"/>
    <cellStyle name="표준 2 4 2 8 3 2" xfId="20668"/>
    <cellStyle name="표준 2 4 2 8 4" xfId="6982"/>
    <cellStyle name="표준 2 4 2 8 4 2" xfId="18230"/>
    <cellStyle name="표준 2 4 2 8 5" xfId="4543"/>
    <cellStyle name="표준 2 4 2 8 5 2" xfId="15792"/>
    <cellStyle name="표준 2 4 2 8 6" xfId="2649"/>
    <cellStyle name="표준 2 4 2 8 6 2" xfId="13927"/>
    <cellStyle name="표준 2 4 2 8 7" xfId="12467"/>
    <cellStyle name="표준 2 4 2 9" xfId="964"/>
    <cellStyle name="표준 2 4 2 9 2" xfId="9461"/>
    <cellStyle name="표준 2 4 2 9 2 2" xfId="20709"/>
    <cellStyle name="표준 2 4 2 9 3" xfId="7023"/>
    <cellStyle name="표준 2 4 2 9 3 2" xfId="18271"/>
    <cellStyle name="표준 2 4 2 9 4" xfId="4584"/>
    <cellStyle name="표준 2 4 2 9 4 2" xfId="15833"/>
    <cellStyle name="표준 2 4 2 9 5" xfId="2586"/>
    <cellStyle name="표준 2 4 2 9 5 2" xfId="13864"/>
    <cellStyle name="표준 2 4 2 9 6" xfId="12404"/>
    <cellStyle name="표준 2 4 20" xfId="8283"/>
    <cellStyle name="표준 2 4 20 2" xfId="19531"/>
    <cellStyle name="표준 2 4 21" xfId="5845"/>
    <cellStyle name="표준 2 4 21 2" xfId="17093"/>
    <cellStyle name="표준 2 4 22" xfId="10720"/>
    <cellStyle name="표준 2 4 22 2" xfId="21968"/>
    <cellStyle name="표준 2 4 23" xfId="3377"/>
    <cellStyle name="표준 2 4 23 2" xfId="14655"/>
    <cellStyle name="표준 2 4 24" xfId="1768"/>
    <cellStyle name="표준 2 4 24 2" xfId="13197"/>
    <cellStyle name="표준 2 4 25" xfId="11737"/>
    <cellStyle name="표준 2 4 3" xfId="64"/>
    <cellStyle name="표준 2 4 3 10" xfId="5725"/>
    <cellStyle name="표준 2 4 3 10 2" xfId="10602"/>
    <cellStyle name="표준 2 4 3 10 2 2" xfId="21850"/>
    <cellStyle name="표준 2 4 3 10 3" xfId="8164"/>
    <cellStyle name="표준 2 4 3 10 3 2" xfId="19412"/>
    <cellStyle name="표준 2 4 3 10 4" xfId="16974"/>
    <cellStyle name="표준 2 4 3 11" xfId="5808"/>
    <cellStyle name="표준 2 4 3 11 2" xfId="10685"/>
    <cellStyle name="표준 2 4 3 11 2 2" xfId="21933"/>
    <cellStyle name="표준 2 4 3 11 3" xfId="8247"/>
    <cellStyle name="표준 2 4 3 11 3 2" xfId="19495"/>
    <cellStyle name="표준 2 4 3 11 4" xfId="17057"/>
    <cellStyle name="표준 2 4 3 12" xfId="3611"/>
    <cellStyle name="표준 2 4 3 12 2" xfId="8510"/>
    <cellStyle name="표준 2 4 3 12 2 2" xfId="19758"/>
    <cellStyle name="표준 2 4 3 12 3" xfId="6072"/>
    <cellStyle name="표준 2 4 3 12 3 2" xfId="17320"/>
    <cellStyle name="표준 2 4 3 12 4" xfId="14882"/>
    <cellStyle name="표준 2 4 3 13" xfId="8331"/>
    <cellStyle name="표준 2 4 3 13 2" xfId="19579"/>
    <cellStyle name="표준 2 4 3 14" xfId="5893"/>
    <cellStyle name="표준 2 4 3 14 2" xfId="17141"/>
    <cellStyle name="표준 2 4 3 15" xfId="10777"/>
    <cellStyle name="표준 2 4 3 15 2" xfId="22025"/>
    <cellStyle name="표준 2 4 3 16" xfId="3425"/>
    <cellStyle name="표준 2 4 3 16 2" xfId="14703"/>
    <cellStyle name="표준 2 4 3 17" xfId="1780"/>
    <cellStyle name="표준 2 4 3 17 2" xfId="13209"/>
    <cellStyle name="표준 2 4 3 18" xfId="11749"/>
    <cellStyle name="표준 2 4 3 2" xfId="83"/>
    <cellStyle name="표준 2 4 3 2 10" xfId="5809"/>
    <cellStyle name="표준 2 4 3 2 10 2" xfId="10686"/>
    <cellStyle name="표준 2 4 3 2 10 2 2" xfId="21934"/>
    <cellStyle name="표준 2 4 3 2 10 3" xfId="8248"/>
    <cellStyle name="표준 2 4 3 2 10 3 2" xfId="19496"/>
    <cellStyle name="표준 2 4 3 2 10 4" xfId="17058"/>
    <cellStyle name="표준 2 4 3 2 11" xfId="3612"/>
    <cellStyle name="표준 2 4 3 2 11 2" xfId="8511"/>
    <cellStyle name="표준 2 4 3 2 11 2 2" xfId="19759"/>
    <cellStyle name="표준 2 4 3 2 11 3" xfId="6073"/>
    <cellStyle name="표준 2 4 3 2 11 3 2" xfId="17321"/>
    <cellStyle name="표준 2 4 3 2 11 4" xfId="14883"/>
    <cellStyle name="표준 2 4 3 2 12" xfId="8332"/>
    <cellStyle name="표준 2 4 3 2 12 2" xfId="19580"/>
    <cellStyle name="표준 2 4 3 2 13" xfId="5894"/>
    <cellStyle name="표준 2 4 3 2 13 2" xfId="17142"/>
    <cellStyle name="표준 2 4 3 2 14" xfId="10778"/>
    <cellStyle name="표준 2 4 3 2 14 2" xfId="22026"/>
    <cellStyle name="표준 2 4 3 2 15" xfId="3426"/>
    <cellStyle name="표준 2 4 3 2 15 2" xfId="14704"/>
    <cellStyle name="표준 2 4 3 2 16" xfId="1799"/>
    <cellStyle name="표준 2 4 3 2 16 2" xfId="13228"/>
    <cellStyle name="표준 2 4 3 2 17" xfId="11768"/>
    <cellStyle name="표준 2 4 3 2 2" xfId="184"/>
    <cellStyle name="표준 2 4 3 2 2 10" xfId="1858"/>
    <cellStyle name="표준 2 4 3 2 2 10 2" xfId="13285"/>
    <cellStyle name="표준 2 4 3 2 2 11" xfId="11825"/>
    <cellStyle name="표준 2 4 3 2 2 2" xfId="296"/>
    <cellStyle name="표준 2 4 3 2 2 2 2" xfId="580"/>
    <cellStyle name="표준 2 4 3 2 2 2 2 2" xfId="1668"/>
    <cellStyle name="표준 2 4 3 2 2 2 2 2 2" xfId="10233"/>
    <cellStyle name="표준 2 4 3 2 2 2 2 2 2 2" xfId="21481"/>
    <cellStyle name="표준 2 4 3 2 2 2 2 2 3" xfId="7795"/>
    <cellStyle name="표준 2 4 3 2 2 2 2 2 3 2" xfId="19043"/>
    <cellStyle name="표준 2 4 3 2 2 2 2 2 4" xfId="5356"/>
    <cellStyle name="표준 2 4 3 2 2 2 2 2 4 2" xfId="16605"/>
    <cellStyle name="표준 2 4 3 2 2 2 2 2 5" xfId="3280"/>
    <cellStyle name="표준 2 4 3 2 2 2 2 2 5 2" xfId="14558"/>
    <cellStyle name="표준 2 4 3 2 2 2 2 2 6" xfId="13098"/>
    <cellStyle name="표준 2 4 3 2 2 2 2 3" xfId="9243"/>
    <cellStyle name="표준 2 4 3 2 2 2 2 3 2" xfId="20491"/>
    <cellStyle name="표준 2 4 3 2 2 2 2 4" xfId="6805"/>
    <cellStyle name="표준 2 4 3 2 2 2 2 4 2" xfId="18053"/>
    <cellStyle name="표준 2 4 3 2 2 2 2 5" xfId="4364"/>
    <cellStyle name="표준 2 4 3 2 2 2 2 5 2" xfId="15615"/>
    <cellStyle name="표준 2 4 3 2 2 2 2 6" xfId="2252"/>
    <cellStyle name="표준 2 4 3 2 2 2 2 6 2" xfId="13679"/>
    <cellStyle name="표준 2 4 3 2 2 2 2 7" xfId="12219"/>
    <cellStyle name="표준 2 4 3 2 2 2 3" xfId="1283"/>
    <cellStyle name="표준 2 4 3 2 2 2 3 2" xfId="9780"/>
    <cellStyle name="표준 2 4 3 2 2 2 3 2 2" xfId="21028"/>
    <cellStyle name="표준 2 4 3 2 2 2 3 3" xfId="7342"/>
    <cellStyle name="표준 2 4 3 2 2 2 3 3 2" xfId="18590"/>
    <cellStyle name="표준 2 4 3 2 2 2 3 4" xfId="4903"/>
    <cellStyle name="표준 2 4 3 2 2 2 3 4 2" xfId="16152"/>
    <cellStyle name="표준 2 4 3 2 2 2 3 5" xfId="2904"/>
    <cellStyle name="표준 2 4 3 2 2 2 3 5 2" xfId="14182"/>
    <cellStyle name="표준 2 4 3 2 2 2 3 6" xfId="12722"/>
    <cellStyle name="표준 2 4 3 2 2 2 4" xfId="8790"/>
    <cellStyle name="표준 2 4 3 2 2 2 4 2" xfId="20038"/>
    <cellStyle name="표준 2 4 3 2 2 2 5" xfId="6352"/>
    <cellStyle name="표준 2 4 3 2 2 2 5 2" xfId="17600"/>
    <cellStyle name="표준 2 4 3 2 2 2 6" xfId="11046"/>
    <cellStyle name="표준 2 4 3 2 2 2 6 2" xfId="22293"/>
    <cellStyle name="표준 2 4 3 2 2 2 7" xfId="3911"/>
    <cellStyle name="표준 2 4 3 2 2 2 7 2" xfId="15162"/>
    <cellStyle name="표준 2 4 3 2 2 2 8" xfId="1968"/>
    <cellStyle name="표준 2 4 3 2 2 2 8 2" xfId="13395"/>
    <cellStyle name="표준 2 4 3 2 2 2 9" xfId="11935"/>
    <cellStyle name="표준 2 4 3 2 2 3" xfId="470"/>
    <cellStyle name="표준 2 4 3 2 2 3 2" xfId="1563"/>
    <cellStyle name="표준 2 4 3 2 2 3 2 2" xfId="10006"/>
    <cellStyle name="표준 2 4 3 2 2 3 2 2 2" xfId="21254"/>
    <cellStyle name="표준 2 4 3 2 2 3 2 3" xfId="7568"/>
    <cellStyle name="표준 2 4 3 2 2 3 2 3 2" xfId="18816"/>
    <cellStyle name="표준 2 4 3 2 2 3 2 4" xfId="5129"/>
    <cellStyle name="표준 2 4 3 2 2 3 2 4 2" xfId="16378"/>
    <cellStyle name="표준 2 4 3 2 2 3 2 5" xfId="3175"/>
    <cellStyle name="표준 2 4 3 2 2 3 2 5 2" xfId="14453"/>
    <cellStyle name="표준 2 4 3 2 2 3 2 6" xfId="12993"/>
    <cellStyle name="표준 2 4 3 2 2 3 3" xfId="9016"/>
    <cellStyle name="표준 2 4 3 2 2 3 3 2" xfId="20264"/>
    <cellStyle name="표준 2 4 3 2 2 3 4" xfId="6578"/>
    <cellStyle name="표준 2 4 3 2 2 3 4 2" xfId="17826"/>
    <cellStyle name="표준 2 4 3 2 2 3 5" xfId="4137"/>
    <cellStyle name="표준 2 4 3 2 2 3 5 2" xfId="15388"/>
    <cellStyle name="표준 2 4 3 2 2 3 6" xfId="2142"/>
    <cellStyle name="표준 2 4 3 2 2 3 6 2" xfId="13569"/>
    <cellStyle name="표준 2 4 3 2 2 3 7" xfId="12109"/>
    <cellStyle name="표준 2 4 3 2 2 4" xfId="789"/>
    <cellStyle name="표준 2 4 3 2 2 4 2" xfId="9554"/>
    <cellStyle name="표준 2 4 3 2 2 4 2 2" xfId="20802"/>
    <cellStyle name="표준 2 4 3 2 2 4 3" xfId="7116"/>
    <cellStyle name="표준 2 4 3 2 2 4 3 2" xfId="18364"/>
    <cellStyle name="표준 2 4 3 2 2 4 4" xfId="4677"/>
    <cellStyle name="표준 2 4 3 2 2 4 4 2" xfId="15926"/>
    <cellStyle name="표준 2 4 3 2 2 4 5" xfId="2416"/>
    <cellStyle name="표준 2 4 3 2 2 4 5 2" xfId="13811"/>
    <cellStyle name="표준 2 4 3 2 2 4 6" xfId="12351"/>
    <cellStyle name="표준 2 4 3 2 2 5" xfId="1173"/>
    <cellStyle name="표준 2 4 3 2 2 5 2" xfId="8580"/>
    <cellStyle name="표준 2 4 3 2 2 5 2 2" xfId="19828"/>
    <cellStyle name="표준 2 4 3 2 2 5 3" xfId="6142"/>
    <cellStyle name="표준 2 4 3 2 2 5 3 2" xfId="17390"/>
    <cellStyle name="표준 2 4 3 2 2 5 4" xfId="3701"/>
    <cellStyle name="표준 2 4 3 2 2 5 4 2" xfId="14952"/>
    <cellStyle name="표준 2 4 3 2 2 5 5" xfId="2794"/>
    <cellStyle name="표준 2 4 3 2 2 5 5 2" xfId="14072"/>
    <cellStyle name="표준 2 4 3 2 2 5 6" xfId="12612"/>
    <cellStyle name="표준 2 4 3 2 2 6" xfId="8415"/>
    <cellStyle name="표준 2 4 3 2 2 6 2" xfId="19663"/>
    <cellStyle name="표준 2 4 3 2 2 7" xfId="5977"/>
    <cellStyle name="표준 2 4 3 2 2 7 2" xfId="17225"/>
    <cellStyle name="표준 2 4 3 2 2 8" xfId="10861"/>
    <cellStyle name="표준 2 4 3 2 2 8 2" xfId="22109"/>
    <cellStyle name="표준 2 4 3 2 2 9" xfId="3515"/>
    <cellStyle name="표준 2 4 3 2 2 9 2" xfId="14787"/>
    <cellStyle name="표준 2 4 3 2 3" xfId="239"/>
    <cellStyle name="표준 2 4 3 2 3 10" xfId="11878"/>
    <cellStyle name="표준 2 4 3 2 3 2" xfId="523"/>
    <cellStyle name="표준 2 4 3 2 3 2 2" xfId="1611"/>
    <cellStyle name="표준 2 4 3 2 3 2 2 2" xfId="5442"/>
    <cellStyle name="표준 2 4 3 2 3 2 2 2 2" xfId="10319"/>
    <cellStyle name="표준 2 4 3 2 3 2 2 2 2 2" xfId="21567"/>
    <cellStyle name="표준 2 4 3 2 3 2 2 2 3" xfId="7881"/>
    <cellStyle name="표준 2 4 3 2 3 2 2 2 3 2" xfId="19129"/>
    <cellStyle name="표준 2 4 3 2 3 2 2 2 4" xfId="16691"/>
    <cellStyle name="표준 2 4 3 2 3 2 2 3" xfId="9329"/>
    <cellStyle name="표준 2 4 3 2 3 2 2 3 2" xfId="20577"/>
    <cellStyle name="표준 2 4 3 2 3 2 2 4" xfId="6891"/>
    <cellStyle name="표준 2 4 3 2 3 2 2 4 2" xfId="18139"/>
    <cellStyle name="표준 2 4 3 2 3 2 2 5" xfId="4450"/>
    <cellStyle name="표준 2 4 3 2 3 2 2 5 2" xfId="15701"/>
    <cellStyle name="표준 2 4 3 2 3 2 2 6" xfId="3223"/>
    <cellStyle name="표준 2 4 3 2 3 2 2 6 2" xfId="14501"/>
    <cellStyle name="표준 2 4 3 2 3 2 2 7" xfId="13041"/>
    <cellStyle name="표준 2 4 3 2 3 2 3" xfId="4989"/>
    <cellStyle name="표준 2 4 3 2 3 2 3 2" xfId="9866"/>
    <cellStyle name="표준 2 4 3 2 3 2 3 2 2" xfId="21114"/>
    <cellStyle name="표준 2 4 3 2 3 2 3 3" xfId="7428"/>
    <cellStyle name="표준 2 4 3 2 3 2 3 3 2" xfId="18676"/>
    <cellStyle name="표준 2 4 3 2 3 2 3 4" xfId="16238"/>
    <cellStyle name="표준 2 4 3 2 3 2 4" xfId="8876"/>
    <cellStyle name="표준 2 4 3 2 3 2 4 2" xfId="20124"/>
    <cellStyle name="표준 2 4 3 2 3 2 5" xfId="6438"/>
    <cellStyle name="표준 2 4 3 2 3 2 5 2" xfId="17686"/>
    <cellStyle name="표준 2 4 3 2 3 2 6" xfId="3997"/>
    <cellStyle name="표준 2 4 3 2 3 2 6 2" xfId="15248"/>
    <cellStyle name="표준 2 4 3 2 3 2 7" xfId="2195"/>
    <cellStyle name="표준 2 4 3 2 3 2 7 2" xfId="13622"/>
    <cellStyle name="표준 2 4 3 2 3 2 8" xfId="12162"/>
    <cellStyle name="표준 2 4 3 2 3 3" xfId="1226"/>
    <cellStyle name="표준 2 4 3 2 3 3 2" xfId="5215"/>
    <cellStyle name="표준 2 4 3 2 3 3 2 2" xfId="10092"/>
    <cellStyle name="표준 2 4 3 2 3 3 2 2 2" xfId="21340"/>
    <cellStyle name="표준 2 4 3 2 3 3 2 3" xfId="7654"/>
    <cellStyle name="표준 2 4 3 2 3 3 2 3 2" xfId="18902"/>
    <cellStyle name="표준 2 4 3 2 3 3 2 4" xfId="16464"/>
    <cellStyle name="표준 2 4 3 2 3 3 3" xfId="9102"/>
    <cellStyle name="표준 2 4 3 2 3 3 3 2" xfId="20350"/>
    <cellStyle name="표준 2 4 3 2 3 3 4" xfId="6664"/>
    <cellStyle name="표준 2 4 3 2 3 3 4 2" xfId="17912"/>
    <cellStyle name="표준 2 4 3 2 3 3 5" xfId="4223"/>
    <cellStyle name="표준 2 4 3 2 3 3 5 2" xfId="15474"/>
    <cellStyle name="표준 2 4 3 2 3 3 6" xfId="2847"/>
    <cellStyle name="표준 2 4 3 2 3 3 6 2" xfId="14125"/>
    <cellStyle name="표준 2 4 3 2 3 3 7" xfId="12665"/>
    <cellStyle name="표준 2 4 3 2 3 4" xfId="4763"/>
    <cellStyle name="표준 2 4 3 2 3 4 2" xfId="9640"/>
    <cellStyle name="표준 2 4 3 2 3 4 2 2" xfId="20888"/>
    <cellStyle name="표준 2 4 3 2 3 4 3" xfId="7202"/>
    <cellStyle name="표준 2 4 3 2 3 4 3 2" xfId="18450"/>
    <cellStyle name="표준 2 4 3 2 3 4 4" xfId="16012"/>
    <cellStyle name="표준 2 4 3 2 3 5" xfId="8650"/>
    <cellStyle name="표준 2 4 3 2 3 5 2" xfId="19898"/>
    <cellStyle name="표준 2 4 3 2 3 6" xfId="6212"/>
    <cellStyle name="표준 2 4 3 2 3 6 2" xfId="17460"/>
    <cellStyle name="표준 2 4 3 2 3 7" xfId="10963"/>
    <cellStyle name="표준 2 4 3 2 3 7 2" xfId="22210"/>
    <cellStyle name="표준 2 4 3 2 3 8" xfId="3771"/>
    <cellStyle name="표준 2 4 3 2 3 8 2" xfId="15022"/>
    <cellStyle name="표준 2 4 3 2 3 9" xfId="1911"/>
    <cellStyle name="표준 2 4 3 2 3 9 2" xfId="13338"/>
    <cellStyle name="표준 2 4 3 2 4" xfId="413"/>
    <cellStyle name="표준 2 4 3 2 4 2" xfId="1511"/>
    <cellStyle name="표준 2 4 3 2 4 2 2" xfId="5290"/>
    <cellStyle name="표준 2 4 3 2 4 2 2 2" xfId="10167"/>
    <cellStyle name="표준 2 4 3 2 4 2 2 2 2" xfId="21415"/>
    <cellStyle name="표준 2 4 3 2 4 2 2 3" xfId="7729"/>
    <cellStyle name="표준 2 4 3 2 4 2 2 3 2" xfId="18977"/>
    <cellStyle name="표준 2 4 3 2 4 2 2 4" xfId="16539"/>
    <cellStyle name="표준 2 4 3 2 4 2 3" xfId="9177"/>
    <cellStyle name="표준 2 4 3 2 4 2 3 2" xfId="20425"/>
    <cellStyle name="표준 2 4 3 2 4 2 4" xfId="6739"/>
    <cellStyle name="표준 2 4 3 2 4 2 4 2" xfId="17987"/>
    <cellStyle name="표준 2 4 3 2 4 2 5" xfId="4298"/>
    <cellStyle name="표준 2 4 3 2 4 2 5 2" xfId="15549"/>
    <cellStyle name="표준 2 4 3 2 4 2 6" xfId="3123"/>
    <cellStyle name="표준 2 4 3 2 4 2 6 2" xfId="14401"/>
    <cellStyle name="표준 2 4 3 2 4 2 7" xfId="12941"/>
    <cellStyle name="표준 2 4 3 2 4 3" xfId="1116"/>
    <cellStyle name="표준 2 4 3 2 4 3 2" xfId="9714"/>
    <cellStyle name="표준 2 4 3 2 4 3 2 2" xfId="20962"/>
    <cellStyle name="표준 2 4 3 2 4 3 3" xfId="7276"/>
    <cellStyle name="표준 2 4 3 2 4 3 3 2" xfId="18524"/>
    <cellStyle name="표준 2 4 3 2 4 3 4" xfId="4837"/>
    <cellStyle name="표준 2 4 3 2 4 3 4 2" xfId="16086"/>
    <cellStyle name="표준 2 4 3 2 4 3 5" xfId="2737"/>
    <cellStyle name="표준 2 4 3 2 4 3 5 2" xfId="14015"/>
    <cellStyle name="표준 2 4 3 2 4 3 6" xfId="12555"/>
    <cellStyle name="표준 2 4 3 2 4 4" xfId="8724"/>
    <cellStyle name="표준 2 4 3 2 4 4 2" xfId="19972"/>
    <cellStyle name="표준 2 4 3 2 4 5" xfId="6286"/>
    <cellStyle name="표준 2 4 3 2 4 5 2" xfId="17534"/>
    <cellStyle name="표준 2 4 3 2 4 6" xfId="3845"/>
    <cellStyle name="표준 2 4 3 2 4 6 2" xfId="15096"/>
    <cellStyle name="표준 2 4 3 2 4 7" xfId="2085"/>
    <cellStyle name="표준 2 4 3 2 4 7 2" xfId="13512"/>
    <cellStyle name="표준 2 4 3 2 4 8" xfId="12052"/>
    <cellStyle name="표준 2 4 3 2 5" xfId="360"/>
    <cellStyle name="표준 2 4 3 2 5 2" xfId="1734"/>
    <cellStyle name="표준 2 4 3 2 5 2 2" xfId="9940"/>
    <cellStyle name="표준 2 4 3 2 5 2 2 2" xfId="21188"/>
    <cellStyle name="표준 2 4 3 2 5 2 3" xfId="7502"/>
    <cellStyle name="표준 2 4 3 2 5 2 3 2" xfId="18750"/>
    <cellStyle name="표준 2 4 3 2 5 2 4" xfId="5063"/>
    <cellStyle name="표준 2 4 3 2 5 2 4 2" xfId="16312"/>
    <cellStyle name="표준 2 4 3 2 5 2 5" xfId="3346"/>
    <cellStyle name="표준 2 4 3 2 5 2 5 2" xfId="14624"/>
    <cellStyle name="표준 2 4 3 2 5 2 6" xfId="13164"/>
    <cellStyle name="표준 2 4 3 2 5 3" xfId="1352"/>
    <cellStyle name="표준 2 4 3 2 5 3 2" xfId="8950"/>
    <cellStyle name="표준 2 4 3 2 5 3 2 2" xfId="20198"/>
    <cellStyle name="표준 2 4 3 2 5 3 3" xfId="2973"/>
    <cellStyle name="표준 2 4 3 2 5 3 3 2" xfId="14251"/>
    <cellStyle name="표준 2 4 3 2 5 3 4" xfId="12791"/>
    <cellStyle name="표준 2 4 3 2 5 4" xfId="6512"/>
    <cellStyle name="표준 2 4 3 2 5 4 2" xfId="17760"/>
    <cellStyle name="표준 2 4 3 2 5 5" xfId="4071"/>
    <cellStyle name="표준 2 4 3 2 5 5 2" xfId="15322"/>
    <cellStyle name="표준 2 4 3 2 5 6" xfId="2032"/>
    <cellStyle name="표준 2 4 3 2 5 6 2" xfId="13459"/>
    <cellStyle name="표준 2 4 3 2 5 7" xfId="11999"/>
    <cellStyle name="표준 2 4 3 2 6" xfId="703"/>
    <cellStyle name="표준 2 4 3 2 6 2" xfId="1442"/>
    <cellStyle name="표준 2 4 3 2 6 2 2" xfId="10413"/>
    <cellStyle name="표준 2 4 3 2 6 2 2 2" xfId="21661"/>
    <cellStyle name="표준 2 4 3 2 6 2 3" xfId="7975"/>
    <cellStyle name="표준 2 4 3 2 6 2 3 2" xfId="19223"/>
    <cellStyle name="표준 2 4 3 2 6 2 4" xfId="5536"/>
    <cellStyle name="표준 2 4 3 2 6 2 4 2" xfId="16785"/>
    <cellStyle name="표준 2 4 3 2 6 2 5" xfId="3056"/>
    <cellStyle name="표준 2 4 3 2 6 2 5 2" xfId="14334"/>
    <cellStyle name="표준 2 4 3 2 6 2 6" xfId="12874"/>
    <cellStyle name="표준 2 4 3 2 6 3" xfId="9423"/>
    <cellStyle name="표준 2 4 3 2 6 3 2" xfId="20671"/>
    <cellStyle name="표준 2 4 3 2 6 4" xfId="6985"/>
    <cellStyle name="표준 2 4 3 2 6 4 2" xfId="18233"/>
    <cellStyle name="표준 2 4 3 2 6 5" xfId="4546"/>
    <cellStyle name="표준 2 4 3 2 6 5 2" xfId="15795"/>
    <cellStyle name="표준 2 4 3 2 6 6" xfId="2335"/>
    <cellStyle name="표준 2 4 3 2 6 6 2" xfId="13748"/>
    <cellStyle name="표준 2 4 3 2 6 7" xfId="12288"/>
    <cellStyle name="표준 2 4 3 2 7" xfId="1063"/>
    <cellStyle name="표준 2 4 3 2 7 2" xfId="9488"/>
    <cellStyle name="표준 2 4 3 2 7 2 2" xfId="20736"/>
    <cellStyle name="표준 2 4 3 2 7 3" xfId="7050"/>
    <cellStyle name="표준 2 4 3 2 7 3 2" xfId="18298"/>
    <cellStyle name="표준 2 4 3 2 7 4" xfId="4611"/>
    <cellStyle name="표준 2 4 3 2 7 4 2" xfId="15860"/>
    <cellStyle name="표준 2 4 3 2 7 5" xfId="2684"/>
    <cellStyle name="표준 2 4 3 2 7 5 2" xfId="13962"/>
    <cellStyle name="표준 2 4 3 2 7 6" xfId="12502"/>
    <cellStyle name="표준 2 4 3 2 8" xfId="999"/>
    <cellStyle name="표준 2 4 3 2 8 2" xfId="10497"/>
    <cellStyle name="표준 2 4 3 2 8 2 2" xfId="21745"/>
    <cellStyle name="표준 2 4 3 2 8 3" xfId="8059"/>
    <cellStyle name="표준 2 4 3 2 8 3 2" xfId="19307"/>
    <cellStyle name="표준 2 4 3 2 8 4" xfId="5620"/>
    <cellStyle name="표준 2 4 3 2 8 4 2" xfId="16869"/>
    <cellStyle name="표준 2 4 3 2 8 5" xfId="2620"/>
    <cellStyle name="표준 2 4 3 2 8 5 2" xfId="13898"/>
    <cellStyle name="표준 2 4 3 2 8 6" xfId="12438"/>
    <cellStyle name="표준 2 4 3 2 9" xfId="5726"/>
    <cellStyle name="표준 2 4 3 2 9 2" xfId="10603"/>
    <cellStyle name="표준 2 4 3 2 9 2 2" xfId="21851"/>
    <cellStyle name="표준 2 4 3 2 9 3" xfId="8165"/>
    <cellStyle name="표준 2 4 3 2 9 3 2" xfId="19413"/>
    <cellStyle name="표준 2 4 3 2 9 4" xfId="16975"/>
    <cellStyle name="표준 2 4 3 3" xfId="112"/>
    <cellStyle name="표준 2 4 3 3 10" xfId="1828"/>
    <cellStyle name="표준 2 4 3 3 10 2" xfId="13257"/>
    <cellStyle name="표준 2 4 3 3 11" xfId="11797"/>
    <cellStyle name="표준 2 4 3 3 2" xfId="268"/>
    <cellStyle name="표준 2 4 3 3 2 2" xfId="552"/>
    <cellStyle name="표준 2 4 3 3 2 2 2" xfId="1640"/>
    <cellStyle name="표준 2 4 3 3 2 2 2 2" xfId="10232"/>
    <cellStyle name="표준 2 4 3 3 2 2 2 2 2" xfId="21480"/>
    <cellStyle name="표준 2 4 3 3 2 2 2 3" xfId="7794"/>
    <cellStyle name="표준 2 4 3 3 2 2 2 3 2" xfId="19042"/>
    <cellStyle name="표준 2 4 3 3 2 2 2 4" xfId="5355"/>
    <cellStyle name="표준 2 4 3 3 2 2 2 4 2" xfId="16604"/>
    <cellStyle name="표준 2 4 3 3 2 2 2 5" xfId="3252"/>
    <cellStyle name="표준 2 4 3 3 2 2 2 5 2" xfId="14530"/>
    <cellStyle name="표준 2 4 3 3 2 2 2 6" xfId="13070"/>
    <cellStyle name="표준 2 4 3 3 2 2 3" xfId="9242"/>
    <cellStyle name="표준 2 4 3 3 2 2 3 2" xfId="20490"/>
    <cellStyle name="표준 2 4 3 3 2 2 4" xfId="6804"/>
    <cellStyle name="표준 2 4 3 3 2 2 4 2" xfId="18052"/>
    <cellStyle name="표준 2 4 3 3 2 2 5" xfId="4363"/>
    <cellStyle name="표준 2 4 3 3 2 2 5 2" xfId="15614"/>
    <cellStyle name="표준 2 4 3 3 2 2 6" xfId="2224"/>
    <cellStyle name="표준 2 4 3 3 2 2 6 2" xfId="13651"/>
    <cellStyle name="표준 2 4 3 3 2 2 7" xfId="12191"/>
    <cellStyle name="표준 2 4 3 3 2 3" xfId="1255"/>
    <cellStyle name="표준 2 4 3 3 2 3 2" xfId="9779"/>
    <cellStyle name="표준 2 4 3 3 2 3 2 2" xfId="21027"/>
    <cellStyle name="표준 2 4 3 3 2 3 3" xfId="7341"/>
    <cellStyle name="표준 2 4 3 3 2 3 3 2" xfId="18589"/>
    <cellStyle name="표준 2 4 3 3 2 3 4" xfId="4902"/>
    <cellStyle name="표준 2 4 3 3 2 3 4 2" xfId="16151"/>
    <cellStyle name="표준 2 4 3 3 2 3 5" xfId="2876"/>
    <cellStyle name="표준 2 4 3 3 2 3 5 2" xfId="14154"/>
    <cellStyle name="표준 2 4 3 3 2 3 6" xfId="12694"/>
    <cellStyle name="표준 2 4 3 3 2 4" xfId="8789"/>
    <cellStyle name="표준 2 4 3 3 2 4 2" xfId="20037"/>
    <cellStyle name="표준 2 4 3 3 2 5" xfId="6351"/>
    <cellStyle name="표준 2 4 3 3 2 5 2" xfId="17599"/>
    <cellStyle name="표준 2 4 3 3 2 6" xfId="11045"/>
    <cellStyle name="표준 2 4 3 3 2 6 2" xfId="22292"/>
    <cellStyle name="표준 2 4 3 3 2 7" xfId="3910"/>
    <cellStyle name="표준 2 4 3 3 2 7 2" xfId="15161"/>
    <cellStyle name="표준 2 4 3 3 2 8" xfId="1940"/>
    <cellStyle name="표준 2 4 3 3 2 8 2" xfId="13367"/>
    <cellStyle name="표준 2 4 3 3 2 9" xfId="11907"/>
    <cellStyle name="표준 2 4 3 3 3" xfId="442"/>
    <cellStyle name="표준 2 4 3 3 3 2" xfId="1535"/>
    <cellStyle name="표준 2 4 3 3 3 2 2" xfId="10005"/>
    <cellStyle name="표준 2 4 3 3 3 2 2 2" xfId="21253"/>
    <cellStyle name="표준 2 4 3 3 3 2 3" xfId="7567"/>
    <cellStyle name="표준 2 4 3 3 3 2 3 2" xfId="18815"/>
    <cellStyle name="표준 2 4 3 3 3 2 4" xfId="5128"/>
    <cellStyle name="표준 2 4 3 3 3 2 4 2" xfId="16377"/>
    <cellStyle name="표준 2 4 3 3 3 2 5" xfId="3147"/>
    <cellStyle name="표준 2 4 3 3 3 2 5 2" xfId="14425"/>
    <cellStyle name="표준 2 4 3 3 3 2 6" xfId="12965"/>
    <cellStyle name="표준 2 4 3 3 3 3" xfId="9015"/>
    <cellStyle name="표준 2 4 3 3 3 3 2" xfId="20263"/>
    <cellStyle name="표준 2 4 3 3 3 4" xfId="6577"/>
    <cellStyle name="표준 2 4 3 3 3 4 2" xfId="17825"/>
    <cellStyle name="표준 2 4 3 3 3 5" xfId="4136"/>
    <cellStyle name="표준 2 4 3 3 3 5 2" xfId="15387"/>
    <cellStyle name="표준 2 4 3 3 3 6" xfId="2114"/>
    <cellStyle name="표준 2 4 3 3 3 6 2" xfId="13541"/>
    <cellStyle name="표준 2 4 3 3 3 7" xfId="12081"/>
    <cellStyle name="표준 2 4 3 3 4" xfId="788"/>
    <cellStyle name="표준 2 4 3 3 4 2" xfId="9553"/>
    <cellStyle name="표준 2 4 3 3 4 2 2" xfId="20801"/>
    <cellStyle name="표준 2 4 3 3 4 3" xfId="7115"/>
    <cellStyle name="표준 2 4 3 3 4 3 2" xfId="18363"/>
    <cellStyle name="표준 2 4 3 3 4 4" xfId="4676"/>
    <cellStyle name="표준 2 4 3 3 4 4 2" xfId="15925"/>
    <cellStyle name="표준 2 4 3 3 4 5" xfId="2415"/>
    <cellStyle name="표준 2 4 3 3 4 5 2" xfId="13810"/>
    <cellStyle name="표준 2 4 3 3 4 6" xfId="12350"/>
    <cellStyle name="표준 2 4 3 3 5" xfId="1145"/>
    <cellStyle name="표준 2 4 3 3 5 2" xfId="8579"/>
    <cellStyle name="표준 2 4 3 3 5 2 2" xfId="19827"/>
    <cellStyle name="표준 2 4 3 3 5 3" xfId="6141"/>
    <cellStyle name="표준 2 4 3 3 5 3 2" xfId="17389"/>
    <cellStyle name="표준 2 4 3 3 5 4" xfId="3700"/>
    <cellStyle name="표준 2 4 3 3 5 4 2" xfId="14951"/>
    <cellStyle name="표준 2 4 3 3 5 5" xfId="2766"/>
    <cellStyle name="표준 2 4 3 3 5 5 2" xfId="14044"/>
    <cellStyle name="표준 2 4 3 3 5 6" xfId="12584"/>
    <cellStyle name="표준 2 4 3 3 6" xfId="8414"/>
    <cellStyle name="표준 2 4 3 3 6 2" xfId="19662"/>
    <cellStyle name="표준 2 4 3 3 7" xfId="5976"/>
    <cellStyle name="표준 2 4 3 3 7 2" xfId="17224"/>
    <cellStyle name="표준 2 4 3 3 8" xfId="10860"/>
    <cellStyle name="표준 2 4 3 3 8 2" xfId="22108"/>
    <cellStyle name="표준 2 4 3 3 9" xfId="3514"/>
    <cellStyle name="표준 2 4 3 3 9 2" xfId="14786"/>
    <cellStyle name="표준 2 4 3 4" xfId="220"/>
    <cellStyle name="표준 2 4 3 4 10" xfId="11859"/>
    <cellStyle name="표준 2 4 3 4 2" xfId="504"/>
    <cellStyle name="표준 2 4 3 4 2 2" xfId="1592"/>
    <cellStyle name="표준 2 4 3 4 2 2 2" xfId="5441"/>
    <cellStyle name="표준 2 4 3 4 2 2 2 2" xfId="10318"/>
    <cellStyle name="표준 2 4 3 4 2 2 2 2 2" xfId="21566"/>
    <cellStyle name="표준 2 4 3 4 2 2 2 3" xfId="7880"/>
    <cellStyle name="표준 2 4 3 4 2 2 2 3 2" xfId="19128"/>
    <cellStyle name="표준 2 4 3 4 2 2 2 4" xfId="16690"/>
    <cellStyle name="표준 2 4 3 4 2 2 3" xfId="9328"/>
    <cellStyle name="표준 2 4 3 4 2 2 3 2" xfId="20576"/>
    <cellStyle name="표준 2 4 3 4 2 2 4" xfId="6890"/>
    <cellStyle name="표준 2 4 3 4 2 2 4 2" xfId="18138"/>
    <cellStyle name="표준 2 4 3 4 2 2 5" xfId="4449"/>
    <cellStyle name="표준 2 4 3 4 2 2 5 2" xfId="15700"/>
    <cellStyle name="표준 2 4 3 4 2 2 6" xfId="3204"/>
    <cellStyle name="표준 2 4 3 4 2 2 6 2" xfId="14482"/>
    <cellStyle name="표준 2 4 3 4 2 2 7" xfId="13022"/>
    <cellStyle name="표준 2 4 3 4 2 3" xfId="4988"/>
    <cellStyle name="표준 2 4 3 4 2 3 2" xfId="9865"/>
    <cellStyle name="표준 2 4 3 4 2 3 2 2" xfId="21113"/>
    <cellStyle name="표준 2 4 3 4 2 3 3" xfId="7427"/>
    <cellStyle name="표준 2 4 3 4 2 3 3 2" xfId="18675"/>
    <cellStyle name="표준 2 4 3 4 2 3 4" xfId="16237"/>
    <cellStyle name="표준 2 4 3 4 2 4" xfId="8875"/>
    <cellStyle name="표준 2 4 3 4 2 4 2" xfId="20123"/>
    <cellStyle name="표준 2 4 3 4 2 5" xfId="6437"/>
    <cellStyle name="표준 2 4 3 4 2 5 2" xfId="17685"/>
    <cellStyle name="표준 2 4 3 4 2 6" xfId="3996"/>
    <cellStyle name="표준 2 4 3 4 2 6 2" xfId="15247"/>
    <cellStyle name="표준 2 4 3 4 2 7" xfId="2176"/>
    <cellStyle name="표준 2 4 3 4 2 7 2" xfId="13603"/>
    <cellStyle name="표준 2 4 3 4 2 8" xfId="12143"/>
    <cellStyle name="표준 2 4 3 4 3" xfId="1207"/>
    <cellStyle name="표준 2 4 3 4 3 2" xfId="5214"/>
    <cellStyle name="표준 2 4 3 4 3 2 2" xfId="10091"/>
    <cellStyle name="표준 2 4 3 4 3 2 2 2" xfId="21339"/>
    <cellStyle name="표준 2 4 3 4 3 2 3" xfId="7653"/>
    <cellStyle name="표준 2 4 3 4 3 2 3 2" xfId="18901"/>
    <cellStyle name="표준 2 4 3 4 3 2 4" xfId="16463"/>
    <cellStyle name="표준 2 4 3 4 3 3" xfId="9101"/>
    <cellStyle name="표준 2 4 3 4 3 3 2" xfId="20349"/>
    <cellStyle name="표준 2 4 3 4 3 4" xfId="6663"/>
    <cellStyle name="표준 2 4 3 4 3 4 2" xfId="17911"/>
    <cellStyle name="표준 2 4 3 4 3 5" xfId="4222"/>
    <cellStyle name="표준 2 4 3 4 3 5 2" xfId="15473"/>
    <cellStyle name="표준 2 4 3 4 3 6" xfId="2828"/>
    <cellStyle name="표준 2 4 3 4 3 6 2" xfId="14106"/>
    <cellStyle name="표준 2 4 3 4 3 7" xfId="12646"/>
    <cellStyle name="표준 2 4 3 4 4" xfId="4762"/>
    <cellStyle name="표준 2 4 3 4 4 2" xfId="9639"/>
    <cellStyle name="표준 2 4 3 4 4 2 2" xfId="20887"/>
    <cellStyle name="표준 2 4 3 4 4 3" xfId="7201"/>
    <cellStyle name="표준 2 4 3 4 4 3 2" xfId="18449"/>
    <cellStyle name="표준 2 4 3 4 4 4" xfId="16011"/>
    <cellStyle name="표준 2 4 3 4 5" xfId="8649"/>
    <cellStyle name="표준 2 4 3 4 5 2" xfId="19897"/>
    <cellStyle name="표준 2 4 3 4 6" xfId="6211"/>
    <cellStyle name="표준 2 4 3 4 6 2" xfId="17459"/>
    <cellStyle name="표준 2 4 3 4 7" xfId="10962"/>
    <cellStyle name="표준 2 4 3 4 7 2" xfId="22209"/>
    <cellStyle name="표준 2 4 3 4 8" xfId="3770"/>
    <cellStyle name="표준 2 4 3 4 8 2" xfId="15021"/>
    <cellStyle name="표준 2 4 3 4 9" xfId="1892"/>
    <cellStyle name="표준 2 4 3 4 9 2" xfId="13319"/>
    <cellStyle name="표준 2 4 3 5" xfId="394"/>
    <cellStyle name="표준 2 4 3 5 2" xfId="1492"/>
    <cellStyle name="표준 2 4 3 5 2 2" xfId="5268"/>
    <cellStyle name="표준 2 4 3 5 2 2 2" xfId="10145"/>
    <cellStyle name="표준 2 4 3 5 2 2 2 2" xfId="21393"/>
    <cellStyle name="표준 2 4 3 5 2 2 3" xfId="7707"/>
    <cellStyle name="표준 2 4 3 5 2 2 3 2" xfId="18955"/>
    <cellStyle name="표준 2 4 3 5 2 2 4" xfId="16517"/>
    <cellStyle name="표준 2 4 3 5 2 3" xfId="9155"/>
    <cellStyle name="표준 2 4 3 5 2 3 2" xfId="20403"/>
    <cellStyle name="표준 2 4 3 5 2 4" xfId="6717"/>
    <cellStyle name="표준 2 4 3 5 2 4 2" xfId="17965"/>
    <cellStyle name="표준 2 4 3 5 2 5" xfId="4276"/>
    <cellStyle name="표준 2 4 3 5 2 5 2" xfId="15527"/>
    <cellStyle name="표준 2 4 3 5 2 6" xfId="3104"/>
    <cellStyle name="표준 2 4 3 5 2 6 2" xfId="14382"/>
    <cellStyle name="표준 2 4 3 5 2 7" xfId="12922"/>
    <cellStyle name="표준 2 4 3 5 3" xfId="1097"/>
    <cellStyle name="표준 2 4 3 5 3 2" xfId="9692"/>
    <cellStyle name="표준 2 4 3 5 3 2 2" xfId="20940"/>
    <cellStyle name="표준 2 4 3 5 3 3" xfId="7254"/>
    <cellStyle name="표준 2 4 3 5 3 3 2" xfId="18502"/>
    <cellStyle name="표준 2 4 3 5 3 4" xfId="4815"/>
    <cellStyle name="표준 2 4 3 5 3 4 2" xfId="16064"/>
    <cellStyle name="표준 2 4 3 5 3 5" xfId="2718"/>
    <cellStyle name="표준 2 4 3 5 3 5 2" xfId="13996"/>
    <cellStyle name="표준 2 4 3 5 3 6" xfId="12536"/>
    <cellStyle name="표준 2 4 3 5 4" xfId="8702"/>
    <cellStyle name="표준 2 4 3 5 4 2" xfId="19950"/>
    <cellStyle name="표준 2 4 3 5 5" xfId="6264"/>
    <cellStyle name="표준 2 4 3 5 5 2" xfId="17512"/>
    <cellStyle name="표준 2 4 3 5 6" xfId="3823"/>
    <cellStyle name="표준 2 4 3 5 6 2" xfId="15074"/>
    <cellStyle name="표준 2 4 3 5 7" xfId="2066"/>
    <cellStyle name="표준 2 4 3 5 7 2" xfId="13493"/>
    <cellStyle name="표준 2 4 3 5 8" xfId="12033"/>
    <cellStyle name="표준 2 4 3 6" xfId="332"/>
    <cellStyle name="표준 2 4 3 6 2" xfId="1733"/>
    <cellStyle name="표준 2 4 3 6 2 2" xfId="9918"/>
    <cellStyle name="표준 2 4 3 6 2 2 2" xfId="21166"/>
    <cellStyle name="표준 2 4 3 6 2 3" xfId="7480"/>
    <cellStyle name="표준 2 4 3 6 2 3 2" xfId="18728"/>
    <cellStyle name="표준 2 4 3 6 2 4" xfId="5041"/>
    <cellStyle name="표준 2 4 3 6 2 4 2" xfId="16290"/>
    <cellStyle name="표준 2 4 3 6 2 5" xfId="3345"/>
    <cellStyle name="표준 2 4 3 6 2 5 2" xfId="14623"/>
    <cellStyle name="표준 2 4 3 6 2 6" xfId="13163"/>
    <cellStyle name="표준 2 4 3 6 3" xfId="1351"/>
    <cellStyle name="표준 2 4 3 6 3 2" xfId="8928"/>
    <cellStyle name="표준 2 4 3 6 3 2 2" xfId="20176"/>
    <cellStyle name="표준 2 4 3 6 3 3" xfId="2972"/>
    <cellStyle name="표준 2 4 3 6 3 3 2" xfId="14250"/>
    <cellStyle name="표준 2 4 3 6 3 4" xfId="12790"/>
    <cellStyle name="표준 2 4 3 6 4" xfId="6490"/>
    <cellStyle name="표준 2 4 3 6 4 2" xfId="17738"/>
    <cellStyle name="표준 2 4 3 6 5" xfId="4049"/>
    <cellStyle name="표준 2 4 3 6 5 2" xfId="15300"/>
    <cellStyle name="표준 2 4 3 6 6" xfId="2004"/>
    <cellStyle name="표준 2 4 3 6 6 2" xfId="13431"/>
    <cellStyle name="표준 2 4 3 6 7" xfId="11971"/>
    <cellStyle name="표준 2 4 3 7" xfId="625"/>
    <cellStyle name="표준 2 4 3 7 2" xfId="1441"/>
    <cellStyle name="표준 2 4 3 7 2 2" xfId="10412"/>
    <cellStyle name="표준 2 4 3 7 2 2 2" xfId="21660"/>
    <cellStyle name="표준 2 4 3 7 2 3" xfId="7974"/>
    <cellStyle name="표준 2 4 3 7 2 3 2" xfId="19222"/>
    <cellStyle name="표준 2 4 3 7 2 4" xfId="5535"/>
    <cellStyle name="표준 2 4 3 7 2 4 2" xfId="16784"/>
    <cellStyle name="표준 2 4 3 7 2 5" xfId="3055"/>
    <cellStyle name="표준 2 4 3 7 2 5 2" xfId="14333"/>
    <cellStyle name="표준 2 4 3 7 2 6" xfId="12873"/>
    <cellStyle name="표준 2 4 3 7 3" xfId="9422"/>
    <cellStyle name="표준 2 4 3 7 3 2" xfId="20670"/>
    <cellStyle name="표준 2 4 3 7 4" xfId="6984"/>
    <cellStyle name="표준 2 4 3 7 4 2" xfId="18232"/>
    <cellStyle name="표준 2 4 3 7 5" xfId="4545"/>
    <cellStyle name="표준 2 4 3 7 5 2" xfId="15794"/>
    <cellStyle name="표준 2 4 3 7 6" xfId="2297"/>
    <cellStyle name="표준 2 4 3 7 6 2" xfId="13716"/>
    <cellStyle name="표준 2 4 3 7 7" xfId="12256"/>
    <cellStyle name="표준 2 4 3 8" xfId="1035"/>
    <cellStyle name="표준 2 4 3 8 2" xfId="9466"/>
    <cellStyle name="표준 2 4 3 8 2 2" xfId="20714"/>
    <cellStyle name="표준 2 4 3 8 3" xfId="7028"/>
    <cellStyle name="표준 2 4 3 8 3 2" xfId="18276"/>
    <cellStyle name="표준 2 4 3 8 4" xfId="4589"/>
    <cellStyle name="표준 2 4 3 8 4 2" xfId="15838"/>
    <cellStyle name="표준 2 4 3 8 5" xfId="2656"/>
    <cellStyle name="표준 2 4 3 8 5 2" xfId="13934"/>
    <cellStyle name="표준 2 4 3 8 6" xfId="12474"/>
    <cellStyle name="표준 2 4 3 9" xfId="971"/>
    <cellStyle name="표준 2 4 3 9 2" xfId="10496"/>
    <cellStyle name="표준 2 4 3 9 2 2" xfId="21744"/>
    <cellStyle name="표준 2 4 3 9 3" xfId="8058"/>
    <cellStyle name="표준 2 4 3 9 3 2" xfId="19306"/>
    <cellStyle name="표준 2 4 3 9 4" xfId="5619"/>
    <cellStyle name="표준 2 4 3 9 4 2" xfId="16868"/>
    <cellStyle name="표준 2 4 3 9 5" xfId="2593"/>
    <cellStyle name="표준 2 4 3 9 5 2" xfId="13871"/>
    <cellStyle name="표준 2 4 3 9 6" xfId="12411"/>
    <cellStyle name="표준 2 4 4" xfId="71"/>
    <cellStyle name="표준 2 4 4 10" xfId="8333"/>
    <cellStyle name="표준 2 4 4 10 2" xfId="19581"/>
    <cellStyle name="표준 2 4 4 11" xfId="5895"/>
    <cellStyle name="표준 2 4 4 11 2" xfId="17143"/>
    <cellStyle name="표준 2 4 4 12" xfId="10779"/>
    <cellStyle name="표준 2 4 4 12 2" xfId="22027"/>
    <cellStyle name="표준 2 4 4 13" xfId="3427"/>
    <cellStyle name="표준 2 4 4 13 2" xfId="14705"/>
    <cellStyle name="표준 2 4 4 14" xfId="1787"/>
    <cellStyle name="표준 2 4 4 14 2" xfId="13216"/>
    <cellStyle name="표준 2 4 4 15" xfId="11756"/>
    <cellStyle name="표준 2 4 4 2" xfId="195"/>
    <cellStyle name="표준 2 4 4 2 10" xfId="3614"/>
    <cellStyle name="표준 2 4 4 2 10 2" xfId="8513"/>
    <cellStyle name="표준 2 4 4 2 10 2 2" xfId="19761"/>
    <cellStyle name="표준 2 4 4 2 10 3" xfId="6075"/>
    <cellStyle name="표준 2 4 4 2 10 3 2" xfId="17323"/>
    <cellStyle name="표준 2 4 4 2 10 4" xfId="14885"/>
    <cellStyle name="표준 2 4 4 2 11" xfId="8334"/>
    <cellStyle name="표준 2 4 4 2 11 2" xfId="19582"/>
    <cellStyle name="표준 2 4 4 2 12" xfId="5896"/>
    <cellStyle name="표준 2 4 4 2 12 2" xfId="17144"/>
    <cellStyle name="표준 2 4 4 2 13" xfId="10780"/>
    <cellStyle name="표준 2 4 4 2 13 2" xfId="22028"/>
    <cellStyle name="표준 2 4 4 2 14" xfId="3428"/>
    <cellStyle name="표준 2 4 4 2 14 2" xfId="14706"/>
    <cellStyle name="표준 2 4 4 2 15" xfId="1868"/>
    <cellStyle name="표준 2 4 4 2 15 2" xfId="13295"/>
    <cellStyle name="표준 2 4 4 2 16" xfId="11835"/>
    <cellStyle name="표준 2 4 4 2 2" xfId="306"/>
    <cellStyle name="표준 2 4 4 2 2 10" xfId="1978"/>
    <cellStyle name="표준 2 4 4 2 2 10 2" xfId="13405"/>
    <cellStyle name="표준 2 4 4 2 2 11" xfId="11945"/>
    <cellStyle name="표준 2 4 4 2 2 2" xfId="590"/>
    <cellStyle name="표준 2 4 4 2 2 2 2" xfId="1678"/>
    <cellStyle name="표준 2 4 4 2 2 2 2 2" xfId="5444"/>
    <cellStyle name="표준 2 4 4 2 2 2 2 2 2" xfId="10321"/>
    <cellStyle name="표준 2 4 4 2 2 2 2 2 2 2" xfId="21569"/>
    <cellStyle name="표준 2 4 4 2 2 2 2 2 3" xfId="7883"/>
    <cellStyle name="표준 2 4 4 2 2 2 2 2 3 2" xfId="19131"/>
    <cellStyle name="표준 2 4 4 2 2 2 2 2 4" xfId="16693"/>
    <cellStyle name="표준 2 4 4 2 2 2 2 3" xfId="9331"/>
    <cellStyle name="표준 2 4 4 2 2 2 2 3 2" xfId="20579"/>
    <cellStyle name="표준 2 4 4 2 2 2 2 4" xfId="6893"/>
    <cellStyle name="표준 2 4 4 2 2 2 2 4 2" xfId="18141"/>
    <cellStyle name="표준 2 4 4 2 2 2 2 5" xfId="4452"/>
    <cellStyle name="표준 2 4 4 2 2 2 2 5 2" xfId="15703"/>
    <cellStyle name="표준 2 4 4 2 2 2 2 6" xfId="3290"/>
    <cellStyle name="표준 2 4 4 2 2 2 2 6 2" xfId="14568"/>
    <cellStyle name="표준 2 4 4 2 2 2 2 7" xfId="13108"/>
    <cellStyle name="표준 2 4 4 2 2 2 3" xfId="4991"/>
    <cellStyle name="표준 2 4 4 2 2 2 3 2" xfId="9868"/>
    <cellStyle name="표준 2 4 4 2 2 2 3 2 2" xfId="21116"/>
    <cellStyle name="표준 2 4 4 2 2 2 3 3" xfId="7430"/>
    <cellStyle name="표준 2 4 4 2 2 2 3 3 2" xfId="18678"/>
    <cellStyle name="표준 2 4 4 2 2 2 3 4" xfId="16240"/>
    <cellStyle name="표준 2 4 4 2 2 2 4" xfId="8878"/>
    <cellStyle name="표준 2 4 4 2 2 2 4 2" xfId="20126"/>
    <cellStyle name="표준 2 4 4 2 2 2 5" xfId="6440"/>
    <cellStyle name="표준 2 4 4 2 2 2 5 2" xfId="17688"/>
    <cellStyle name="표준 2 4 4 2 2 2 6" xfId="11048"/>
    <cellStyle name="표준 2 4 4 2 2 2 6 2" xfId="22295"/>
    <cellStyle name="표준 2 4 4 2 2 2 7" xfId="3999"/>
    <cellStyle name="표준 2 4 4 2 2 2 7 2" xfId="15250"/>
    <cellStyle name="표준 2 4 4 2 2 2 8" xfId="2262"/>
    <cellStyle name="표준 2 4 4 2 2 2 8 2" xfId="13689"/>
    <cellStyle name="표준 2 4 4 2 2 2 9" xfId="12229"/>
    <cellStyle name="표준 2 4 4 2 2 3" xfId="791"/>
    <cellStyle name="표준 2 4 4 2 2 3 2" xfId="5217"/>
    <cellStyle name="표준 2 4 4 2 2 3 2 2" xfId="10094"/>
    <cellStyle name="표준 2 4 4 2 2 3 2 2 2" xfId="21342"/>
    <cellStyle name="표준 2 4 4 2 2 3 2 3" xfId="7656"/>
    <cellStyle name="표준 2 4 4 2 2 3 2 3 2" xfId="18904"/>
    <cellStyle name="표준 2 4 4 2 2 3 2 4" xfId="16466"/>
    <cellStyle name="표준 2 4 4 2 2 3 3" xfId="9104"/>
    <cellStyle name="표준 2 4 4 2 2 3 3 2" xfId="20352"/>
    <cellStyle name="표준 2 4 4 2 2 3 4" xfId="6666"/>
    <cellStyle name="표준 2 4 4 2 2 3 4 2" xfId="17914"/>
    <cellStyle name="표준 2 4 4 2 2 3 5" xfId="4225"/>
    <cellStyle name="표준 2 4 4 2 2 3 5 2" xfId="15476"/>
    <cellStyle name="표준 2 4 4 2 2 3 6" xfId="2418"/>
    <cellStyle name="표준 2 4 4 2 2 3 6 2" xfId="13813"/>
    <cellStyle name="표준 2 4 4 2 2 3 7" xfId="12353"/>
    <cellStyle name="표준 2 4 4 2 2 4" xfId="1293"/>
    <cellStyle name="표준 2 4 4 2 2 4 2" xfId="9642"/>
    <cellStyle name="표준 2 4 4 2 2 4 2 2" xfId="20890"/>
    <cellStyle name="표준 2 4 4 2 2 4 3" xfId="7204"/>
    <cellStyle name="표준 2 4 4 2 2 4 3 2" xfId="18452"/>
    <cellStyle name="표준 2 4 4 2 2 4 4" xfId="4765"/>
    <cellStyle name="표준 2 4 4 2 2 4 4 2" xfId="16014"/>
    <cellStyle name="표준 2 4 4 2 2 4 5" xfId="2914"/>
    <cellStyle name="표준 2 4 4 2 2 4 5 2" xfId="14192"/>
    <cellStyle name="표준 2 4 4 2 2 4 6" xfId="12732"/>
    <cellStyle name="표준 2 4 4 2 2 5" xfId="3773"/>
    <cellStyle name="표준 2 4 4 2 2 5 2" xfId="8652"/>
    <cellStyle name="표준 2 4 4 2 2 5 2 2" xfId="19900"/>
    <cellStyle name="표준 2 4 4 2 2 5 3" xfId="6214"/>
    <cellStyle name="표준 2 4 4 2 2 5 3 2" xfId="17462"/>
    <cellStyle name="표준 2 4 4 2 2 5 4" xfId="15024"/>
    <cellStyle name="표준 2 4 4 2 2 6" xfId="8417"/>
    <cellStyle name="표준 2 4 4 2 2 6 2" xfId="19665"/>
    <cellStyle name="표준 2 4 4 2 2 7" xfId="5979"/>
    <cellStyle name="표준 2 4 4 2 2 7 2" xfId="17227"/>
    <cellStyle name="표준 2 4 4 2 2 8" xfId="10863"/>
    <cellStyle name="표준 2 4 4 2 2 8 2" xfId="22111"/>
    <cellStyle name="표준 2 4 4 2 2 9" xfId="3517"/>
    <cellStyle name="표준 2 4 4 2 2 9 2" xfId="14789"/>
    <cellStyle name="표준 2 4 4 2 3" xfId="480"/>
    <cellStyle name="표준 2 4 4 2 3 2" xfId="1573"/>
    <cellStyle name="표준 2 4 4 2 3 2 2" xfId="5358"/>
    <cellStyle name="표준 2 4 4 2 3 2 2 2" xfId="10235"/>
    <cellStyle name="표준 2 4 4 2 3 2 2 2 2" xfId="21483"/>
    <cellStyle name="표준 2 4 4 2 3 2 2 3" xfId="7797"/>
    <cellStyle name="표준 2 4 4 2 3 2 2 3 2" xfId="19045"/>
    <cellStyle name="표준 2 4 4 2 3 2 2 4" xfId="16607"/>
    <cellStyle name="표준 2 4 4 2 3 2 3" xfId="9245"/>
    <cellStyle name="표준 2 4 4 2 3 2 3 2" xfId="20493"/>
    <cellStyle name="표준 2 4 4 2 3 2 4" xfId="6807"/>
    <cellStyle name="표준 2 4 4 2 3 2 4 2" xfId="18055"/>
    <cellStyle name="표준 2 4 4 2 3 2 5" xfId="4366"/>
    <cellStyle name="표준 2 4 4 2 3 2 5 2" xfId="15617"/>
    <cellStyle name="표준 2 4 4 2 3 2 6" xfId="3185"/>
    <cellStyle name="표준 2 4 4 2 3 2 6 2" xfId="14463"/>
    <cellStyle name="표준 2 4 4 2 3 2 7" xfId="13003"/>
    <cellStyle name="표준 2 4 4 2 3 3" xfId="1183"/>
    <cellStyle name="표준 2 4 4 2 3 3 2" xfId="9782"/>
    <cellStyle name="표준 2 4 4 2 3 3 2 2" xfId="21030"/>
    <cellStyle name="표준 2 4 4 2 3 3 3" xfId="7344"/>
    <cellStyle name="표준 2 4 4 2 3 3 3 2" xfId="18592"/>
    <cellStyle name="표준 2 4 4 2 3 3 4" xfId="4905"/>
    <cellStyle name="표준 2 4 4 2 3 3 4 2" xfId="16154"/>
    <cellStyle name="표준 2 4 4 2 3 3 5" xfId="2804"/>
    <cellStyle name="표준 2 4 4 2 3 3 5 2" xfId="14082"/>
    <cellStyle name="표준 2 4 4 2 3 3 6" xfId="12622"/>
    <cellStyle name="표준 2 4 4 2 3 4" xfId="8792"/>
    <cellStyle name="표준 2 4 4 2 3 4 2" xfId="20040"/>
    <cellStyle name="표준 2 4 4 2 3 5" xfId="6354"/>
    <cellStyle name="표준 2 4 4 2 3 5 2" xfId="17602"/>
    <cellStyle name="표준 2 4 4 2 3 6" xfId="10965"/>
    <cellStyle name="표준 2 4 4 2 3 6 2" xfId="22212"/>
    <cellStyle name="표준 2 4 4 2 3 7" xfId="3913"/>
    <cellStyle name="표준 2 4 4 2 3 7 2" xfId="15164"/>
    <cellStyle name="표준 2 4 4 2 3 8" xfId="2152"/>
    <cellStyle name="표준 2 4 4 2 3 8 2" xfId="13579"/>
    <cellStyle name="표준 2 4 4 2 3 9" xfId="12119"/>
    <cellStyle name="표준 2 4 4 2 4" xfId="370"/>
    <cellStyle name="표준 2 4 4 2 4 2" xfId="1736"/>
    <cellStyle name="표준 2 4 4 2 4 2 2" xfId="10008"/>
    <cellStyle name="표준 2 4 4 2 4 2 2 2" xfId="21256"/>
    <cellStyle name="표준 2 4 4 2 4 2 3" xfId="7570"/>
    <cellStyle name="표준 2 4 4 2 4 2 3 2" xfId="18818"/>
    <cellStyle name="표준 2 4 4 2 4 2 4" xfId="5131"/>
    <cellStyle name="표준 2 4 4 2 4 2 4 2" xfId="16380"/>
    <cellStyle name="표준 2 4 4 2 4 2 5" xfId="3348"/>
    <cellStyle name="표준 2 4 4 2 4 2 5 2" xfId="14626"/>
    <cellStyle name="표준 2 4 4 2 4 2 6" xfId="13166"/>
    <cellStyle name="표준 2 4 4 2 4 3" xfId="1354"/>
    <cellStyle name="표준 2 4 4 2 4 3 2" xfId="9018"/>
    <cellStyle name="표준 2 4 4 2 4 3 2 2" xfId="20266"/>
    <cellStyle name="표준 2 4 4 2 4 3 3" xfId="2975"/>
    <cellStyle name="표준 2 4 4 2 4 3 3 2" xfId="14253"/>
    <cellStyle name="표준 2 4 4 2 4 3 4" xfId="12793"/>
    <cellStyle name="표준 2 4 4 2 4 4" xfId="6580"/>
    <cellStyle name="표준 2 4 4 2 4 4 2" xfId="17828"/>
    <cellStyle name="표준 2 4 4 2 4 5" xfId="4139"/>
    <cellStyle name="표준 2 4 4 2 4 5 2" xfId="15390"/>
    <cellStyle name="표준 2 4 4 2 4 6" xfId="2042"/>
    <cellStyle name="표준 2 4 4 2 4 6 2" xfId="13469"/>
    <cellStyle name="표준 2 4 4 2 4 7" xfId="12009"/>
    <cellStyle name="표준 2 4 4 2 5" xfId="714"/>
    <cellStyle name="표준 2 4 4 2 5 2" xfId="1444"/>
    <cellStyle name="표준 2 4 4 2 5 2 2" xfId="10415"/>
    <cellStyle name="표준 2 4 4 2 5 2 2 2" xfId="21663"/>
    <cellStyle name="표준 2 4 4 2 5 2 3" xfId="7977"/>
    <cellStyle name="표준 2 4 4 2 5 2 3 2" xfId="19225"/>
    <cellStyle name="표준 2 4 4 2 5 2 4" xfId="5538"/>
    <cellStyle name="표준 2 4 4 2 5 2 4 2" xfId="16787"/>
    <cellStyle name="표준 2 4 4 2 5 2 5" xfId="3058"/>
    <cellStyle name="표준 2 4 4 2 5 2 5 2" xfId="14336"/>
    <cellStyle name="표준 2 4 4 2 5 2 6" xfId="12876"/>
    <cellStyle name="표준 2 4 4 2 5 3" xfId="9425"/>
    <cellStyle name="표준 2 4 4 2 5 3 2" xfId="20673"/>
    <cellStyle name="표준 2 4 4 2 5 4" xfId="6987"/>
    <cellStyle name="표준 2 4 4 2 5 4 2" xfId="18235"/>
    <cellStyle name="표준 2 4 4 2 5 5" xfId="4548"/>
    <cellStyle name="표준 2 4 4 2 5 5 2" xfId="15797"/>
    <cellStyle name="표준 2 4 4 2 5 6" xfId="2346"/>
    <cellStyle name="표준 2 4 4 2 5 6 2" xfId="13759"/>
    <cellStyle name="표준 2 4 4 2 5 7" xfId="12299"/>
    <cellStyle name="표준 2 4 4 2 6" xfId="1073"/>
    <cellStyle name="표준 2 4 4 2 6 2" xfId="9556"/>
    <cellStyle name="표준 2 4 4 2 6 2 2" xfId="20804"/>
    <cellStyle name="표준 2 4 4 2 6 3" xfId="7118"/>
    <cellStyle name="표준 2 4 4 2 6 3 2" xfId="18366"/>
    <cellStyle name="표준 2 4 4 2 6 4" xfId="4679"/>
    <cellStyle name="표준 2 4 4 2 6 4 2" xfId="15928"/>
    <cellStyle name="표준 2 4 4 2 6 5" xfId="2694"/>
    <cellStyle name="표준 2 4 4 2 6 5 2" xfId="13972"/>
    <cellStyle name="표준 2 4 4 2 6 6" xfId="12512"/>
    <cellStyle name="표준 2 4 4 2 7" xfId="1009"/>
    <cellStyle name="표준 2 4 4 2 7 2" xfId="10499"/>
    <cellStyle name="표준 2 4 4 2 7 2 2" xfId="21747"/>
    <cellStyle name="표준 2 4 4 2 7 3" xfId="8061"/>
    <cellStyle name="표준 2 4 4 2 7 3 2" xfId="19309"/>
    <cellStyle name="표준 2 4 4 2 7 4" xfId="5622"/>
    <cellStyle name="표준 2 4 4 2 7 4 2" xfId="16871"/>
    <cellStyle name="표준 2 4 4 2 7 5" xfId="2630"/>
    <cellStyle name="표준 2 4 4 2 7 5 2" xfId="13908"/>
    <cellStyle name="표준 2 4 4 2 7 6" xfId="12448"/>
    <cellStyle name="표준 2 4 4 2 8" xfId="5728"/>
    <cellStyle name="표준 2 4 4 2 8 2" xfId="10605"/>
    <cellStyle name="표준 2 4 4 2 8 2 2" xfId="21853"/>
    <cellStyle name="표준 2 4 4 2 8 3" xfId="8167"/>
    <cellStyle name="표준 2 4 4 2 8 3 2" xfId="19415"/>
    <cellStyle name="표준 2 4 4 2 8 4" xfId="16977"/>
    <cellStyle name="표준 2 4 4 2 9" xfId="5811"/>
    <cellStyle name="표준 2 4 4 2 9 2" xfId="10688"/>
    <cellStyle name="표준 2 4 4 2 9 2 2" xfId="21936"/>
    <cellStyle name="표준 2 4 4 2 9 3" xfId="8250"/>
    <cellStyle name="표준 2 4 4 2 9 3 2" xfId="19498"/>
    <cellStyle name="표준 2 4 4 2 9 4" xfId="17060"/>
    <cellStyle name="표준 2 4 4 3" xfId="166"/>
    <cellStyle name="표준 2 4 4 3 10" xfId="1840"/>
    <cellStyle name="표준 2 4 4 3 10 2" xfId="13267"/>
    <cellStyle name="표준 2 4 4 3 11" xfId="11807"/>
    <cellStyle name="표준 2 4 4 3 2" xfId="278"/>
    <cellStyle name="표준 2 4 4 3 2 2" xfId="562"/>
    <cellStyle name="표준 2 4 4 3 2 2 2" xfId="1650"/>
    <cellStyle name="표준 2 4 4 3 2 2 2 2" xfId="10234"/>
    <cellStyle name="표준 2 4 4 3 2 2 2 2 2" xfId="21482"/>
    <cellStyle name="표준 2 4 4 3 2 2 2 3" xfId="7796"/>
    <cellStyle name="표준 2 4 4 3 2 2 2 3 2" xfId="19044"/>
    <cellStyle name="표준 2 4 4 3 2 2 2 4" xfId="5357"/>
    <cellStyle name="표준 2 4 4 3 2 2 2 4 2" xfId="16606"/>
    <cellStyle name="표준 2 4 4 3 2 2 2 5" xfId="3262"/>
    <cellStyle name="표준 2 4 4 3 2 2 2 5 2" xfId="14540"/>
    <cellStyle name="표준 2 4 4 3 2 2 2 6" xfId="13080"/>
    <cellStyle name="표준 2 4 4 3 2 2 3" xfId="9244"/>
    <cellStyle name="표준 2 4 4 3 2 2 3 2" xfId="20492"/>
    <cellStyle name="표준 2 4 4 3 2 2 4" xfId="6806"/>
    <cellStyle name="표준 2 4 4 3 2 2 4 2" xfId="18054"/>
    <cellStyle name="표준 2 4 4 3 2 2 5" xfId="4365"/>
    <cellStyle name="표준 2 4 4 3 2 2 5 2" xfId="15616"/>
    <cellStyle name="표준 2 4 4 3 2 2 6" xfId="2234"/>
    <cellStyle name="표준 2 4 4 3 2 2 6 2" xfId="13661"/>
    <cellStyle name="표준 2 4 4 3 2 2 7" xfId="12201"/>
    <cellStyle name="표준 2 4 4 3 2 3" xfId="1265"/>
    <cellStyle name="표준 2 4 4 3 2 3 2" xfId="9781"/>
    <cellStyle name="표준 2 4 4 3 2 3 2 2" xfId="21029"/>
    <cellStyle name="표준 2 4 4 3 2 3 3" xfId="7343"/>
    <cellStyle name="표준 2 4 4 3 2 3 3 2" xfId="18591"/>
    <cellStyle name="표준 2 4 4 3 2 3 4" xfId="4904"/>
    <cellStyle name="표준 2 4 4 3 2 3 4 2" xfId="16153"/>
    <cellStyle name="표준 2 4 4 3 2 3 5" xfId="2886"/>
    <cellStyle name="표준 2 4 4 3 2 3 5 2" xfId="14164"/>
    <cellStyle name="표준 2 4 4 3 2 3 6" xfId="12704"/>
    <cellStyle name="표준 2 4 4 3 2 4" xfId="8791"/>
    <cellStyle name="표준 2 4 4 3 2 4 2" xfId="20039"/>
    <cellStyle name="표준 2 4 4 3 2 5" xfId="6353"/>
    <cellStyle name="표준 2 4 4 3 2 5 2" xfId="17601"/>
    <cellStyle name="표준 2 4 4 3 2 6" xfId="11047"/>
    <cellStyle name="표준 2 4 4 3 2 6 2" xfId="22294"/>
    <cellStyle name="표준 2 4 4 3 2 7" xfId="3912"/>
    <cellStyle name="표준 2 4 4 3 2 7 2" xfId="15163"/>
    <cellStyle name="표준 2 4 4 3 2 8" xfId="1950"/>
    <cellStyle name="표준 2 4 4 3 2 8 2" xfId="13377"/>
    <cellStyle name="표준 2 4 4 3 2 9" xfId="11917"/>
    <cellStyle name="표준 2 4 4 3 3" xfId="452"/>
    <cellStyle name="표준 2 4 4 3 3 2" xfId="1545"/>
    <cellStyle name="표준 2 4 4 3 3 2 2" xfId="10007"/>
    <cellStyle name="표준 2 4 4 3 3 2 2 2" xfId="21255"/>
    <cellStyle name="표준 2 4 4 3 3 2 3" xfId="7569"/>
    <cellStyle name="표준 2 4 4 3 3 2 3 2" xfId="18817"/>
    <cellStyle name="표준 2 4 4 3 3 2 4" xfId="5130"/>
    <cellStyle name="표준 2 4 4 3 3 2 4 2" xfId="16379"/>
    <cellStyle name="표준 2 4 4 3 3 2 5" xfId="3157"/>
    <cellStyle name="표준 2 4 4 3 3 2 5 2" xfId="14435"/>
    <cellStyle name="표준 2 4 4 3 3 2 6" xfId="12975"/>
    <cellStyle name="표준 2 4 4 3 3 3" xfId="9017"/>
    <cellStyle name="표준 2 4 4 3 3 3 2" xfId="20265"/>
    <cellStyle name="표준 2 4 4 3 3 4" xfId="6579"/>
    <cellStyle name="표준 2 4 4 3 3 4 2" xfId="17827"/>
    <cellStyle name="표준 2 4 4 3 3 5" xfId="4138"/>
    <cellStyle name="표준 2 4 4 3 3 5 2" xfId="15389"/>
    <cellStyle name="표준 2 4 4 3 3 6" xfId="2124"/>
    <cellStyle name="표준 2 4 4 3 3 6 2" xfId="13551"/>
    <cellStyle name="표준 2 4 4 3 3 7" xfId="12091"/>
    <cellStyle name="표준 2 4 4 3 4" xfId="790"/>
    <cellStyle name="표준 2 4 4 3 4 2" xfId="9555"/>
    <cellStyle name="표준 2 4 4 3 4 2 2" xfId="20803"/>
    <cellStyle name="표준 2 4 4 3 4 3" xfId="7117"/>
    <cellStyle name="표준 2 4 4 3 4 3 2" xfId="18365"/>
    <cellStyle name="표준 2 4 4 3 4 4" xfId="4678"/>
    <cellStyle name="표준 2 4 4 3 4 4 2" xfId="15927"/>
    <cellStyle name="표준 2 4 4 3 4 5" xfId="2417"/>
    <cellStyle name="표준 2 4 4 3 4 5 2" xfId="13812"/>
    <cellStyle name="표준 2 4 4 3 4 6" xfId="12352"/>
    <cellStyle name="표준 2 4 4 3 5" xfId="1155"/>
    <cellStyle name="표준 2 4 4 3 5 2" xfId="8581"/>
    <cellStyle name="표준 2 4 4 3 5 2 2" xfId="19829"/>
    <cellStyle name="표준 2 4 4 3 5 3" xfId="6143"/>
    <cellStyle name="표준 2 4 4 3 5 3 2" xfId="17391"/>
    <cellStyle name="표준 2 4 4 3 5 4" xfId="3702"/>
    <cellStyle name="표준 2 4 4 3 5 4 2" xfId="14953"/>
    <cellStyle name="표준 2 4 4 3 5 5" xfId="2776"/>
    <cellStyle name="표준 2 4 4 3 5 5 2" xfId="14054"/>
    <cellStyle name="표준 2 4 4 3 5 6" xfId="12594"/>
    <cellStyle name="표준 2 4 4 3 6" xfId="8416"/>
    <cellStyle name="표준 2 4 4 3 6 2" xfId="19664"/>
    <cellStyle name="표준 2 4 4 3 7" xfId="5978"/>
    <cellStyle name="표준 2 4 4 3 7 2" xfId="17226"/>
    <cellStyle name="표준 2 4 4 3 8" xfId="10862"/>
    <cellStyle name="표준 2 4 4 3 8 2" xfId="22110"/>
    <cellStyle name="표준 2 4 4 3 9" xfId="3516"/>
    <cellStyle name="표준 2 4 4 3 9 2" xfId="14788"/>
    <cellStyle name="표준 2 4 4 4" xfId="227"/>
    <cellStyle name="표준 2 4 4 4 10" xfId="11866"/>
    <cellStyle name="표준 2 4 4 4 2" xfId="511"/>
    <cellStyle name="표준 2 4 4 4 2 2" xfId="1599"/>
    <cellStyle name="표준 2 4 4 4 2 2 2" xfId="5443"/>
    <cellStyle name="표준 2 4 4 4 2 2 2 2" xfId="10320"/>
    <cellStyle name="표준 2 4 4 4 2 2 2 2 2" xfId="21568"/>
    <cellStyle name="표준 2 4 4 4 2 2 2 3" xfId="7882"/>
    <cellStyle name="표준 2 4 4 4 2 2 2 3 2" xfId="19130"/>
    <cellStyle name="표준 2 4 4 4 2 2 2 4" xfId="16692"/>
    <cellStyle name="표준 2 4 4 4 2 2 3" xfId="9330"/>
    <cellStyle name="표준 2 4 4 4 2 2 3 2" xfId="20578"/>
    <cellStyle name="표준 2 4 4 4 2 2 4" xfId="6892"/>
    <cellStyle name="표준 2 4 4 4 2 2 4 2" xfId="18140"/>
    <cellStyle name="표준 2 4 4 4 2 2 5" xfId="4451"/>
    <cellStyle name="표준 2 4 4 4 2 2 5 2" xfId="15702"/>
    <cellStyle name="표준 2 4 4 4 2 2 6" xfId="3211"/>
    <cellStyle name="표준 2 4 4 4 2 2 6 2" xfId="14489"/>
    <cellStyle name="표준 2 4 4 4 2 2 7" xfId="13029"/>
    <cellStyle name="표준 2 4 4 4 2 3" xfId="4990"/>
    <cellStyle name="표준 2 4 4 4 2 3 2" xfId="9867"/>
    <cellStyle name="표준 2 4 4 4 2 3 2 2" xfId="21115"/>
    <cellStyle name="표준 2 4 4 4 2 3 3" xfId="7429"/>
    <cellStyle name="표준 2 4 4 4 2 3 3 2" xfId="18677"/>
    <cellStyle name="표준 2 4 4 4 2 3 4" xfId="16239"/>
    <cellStyle name="표준 2 4 4 4 2 4" xfId="8877"/>
    <cellStyle name="표준 2 4 4 4 2 4 2" xfId="20125"/>
    <cellStyle name="표준 2 4 4 4 2 5" xfId="6439"/>
    <cellStyle name="표준 2 4 4 4 2 5 2" xfId="17687"/>
    <cellStyle name="표준 2 4 4 4 2 6" xfId="3998"/>
    <cellStyle name="표준 2 4 4 4 2 6 2" xfId="15249"/>
    <cellStyle name="표준 2 4 4 4 2 7" xfId="2183"/>
    <cellStyle name="표준 2 4 4 4 2 7 2" xfId="13610"/>
    <cellStyle name="표준 2 4 4 4 2 8" xfId="12150"/>
    <cellStyle name="표준 2 4 4 4 3" xfId="1214"/>
    <cellStyle name="표준 2 4 4 4 3 2" xfId="5216"/>
    <cellStyle name="표준 2 4 4 4 3 2 2" xfId="10093"/>
    <cellStyle name="표준 2 4 4 4 3 2 2 2" xfId="21341"/>
    <cellStyle name="표준 2 4 4 4 3 2 3" xfId="7655"/>
    <cellStyle name="표준 2 4 4 4 3 2 3 2" xfId="18903"/>
    <cellStyle name="표준 2 4 4 4 3 2 4" xfId="16465"/>
    <cellStyle name="표준 2 4 4 4 3 3" xfId="9103"/>
    <cellStyle name="표준 2 4 4 4 3 3 2" xfId="20351"/>
    <cellStyle name="표준 2 4 4 4 3 4" xfId="6665"/>
    <cellStyle name="표준 2 4 4 4 3 4 2" xfId="17913"/>
    <cellStyle name="표준 2 4 4 4 3 5" xfId="4224"/>
    <cellStyle name="표준 2 4 4 4 3 5 2" xfId="15475"/>
    <cellStyle name="표준 2 4 4 4 3 6" xfId="2835"/>
    <cellStyle name="표준 2 4 4 4 3 6 2" xfId="14113"/>
    <cellStyle name="표준 2 4 4 4 3 7" xfId="12653"/>
    <cellStyle name="표준 2 4 4 4 4" xfId="4764"/>
    <cellStyle name="표준 2 4 4 4 4 2" xfId="9641"/>
    <cellStyle name="표준 2 4 4 4 4 2 2" xfId="20889"/>
    <cellStyle name="표준 2 4 4 4 4 3" xfId="7203"/>
    <cellStyle name="표준 2 4 4 4 4 3 2" xfId="18451"/>
    <cellStyle name="표준 2 4 4 4 4 4" xfId="16013"/>
    <cellStyle name="표준 2 4 4 4 5" xfId="8651"/>
    <cellStyle name="표준 2 4 4 4 5 2" xfId="19899"/>
    <cellStyle name="표준 2 4 4 4 6" xfId="6213"/>
    <cellStyle name="표준 2 4 4 4 6 2" xfId="17461"/>
    <cellStyle name="표준 2 4 4 4 7" xfId="10964"/>
    <cellStyle name="표준 2 4 4 4 7 2" xfId="22211"/>
    <cellStyle name="표준 2 4 4 4 8" xfId="3772"/>
    <cellStyle name="표준 2 4 4 4 8 2" xfId="15023"/>
    <cellStyle name="표준 2 4 4 4 9" xfId="1899"/>
    <cellStyle name="표준 2 4 4 4 9 2" xfId="13326"/>
    <cellStyle name="표준 2 4 4 5" xfId="401"/>
    <cellStyle name="표준 2 4 4 5 2" xfId="1499"/>
    <cellStyle name="표준 2 4 4 5 2 2" xfId="10414"/>
    <cellStyle name="표준 2 4 4 5 2 2 2" xfId="21662"/>
    <cellStyle name="표준 2 4 4 5 2 3" xfId="7976"/>
    <cellStyle name="표준 2 4 4 5 2 3 2" xfId="19224"/>
    <cellStyle name="표준 2 4 4 5 2 4" xfId="5537"/>
    <cellStyle name="표준 2 4 4 5 2 4 2" xfId="16786"/>
    <cellStyle name="표준 2 4 4 5 2 5" xfId="3111"/>
    <cellStyle name="표준 2 4 4 5 2 5 2" xfId="14389"/>
    <cellStyle name="표준 2 4 4 5 2 6" xfId="12929"/>
    <cellStyle name="표준 2 4 4 5 3" xfId="1104"/>
    <cellStyle name="표준 2 4 4 5 3 2" xfId="9424"/>
    <cellStyle name="표준 2 4 4 5 3 2 2" xfId="20672"/>
    <cellStyle name="표준 2 4 4 5 3 3" xfId="2725"/>
    <cellStyle name="표준 2 4 4 5 3 3 2" xfId="14003"/>
    <cellStyle name="표준 2 4 4 5 3 4" xfId="12543"/>
    <cellStyle name="표준 2 4 4 5 4" xfId="6986"/>
    <cellStyle name="표준 2 4 4 5 4 2" xfId="18234"/>
    <cellStyle name="표준 2 4 4 5 5" xfId="4547"/>
    <cellStyle name="표준 2 4 4 5 5 2" xfId="15796"/>
    <cellStyle name="표준 2 4 4 5 6" xfId="2073"/>
    <cellStyle name="표준 2 4 4 5 6 2" xfId="13500"/>
    <cellStyle name="표준 2 4 4 5 7" xfId="12040"/>
    <cellStyle name="표준 2 4 4 6" xfId="342"/>
    <cellStyle name="표준 2 4 4 6 2" xfId="1735"/>
    <cellStyle name="표준 2 4 4 6 2 2" xfId="10498"/>
    <cellStyle name="표준 2 4 4 6 2 2 2" xfId="21746"/>
    <cellStyle name="표준 2 4 4 6 2 3" xfId="3347"/>
    <cellStyle name="표준 2 4 4 6 2 3 2" xfId="14625"/>
    <cellStyle name="표준 2 4 4 6 2 4" xfId="13165"/>
    <cellStyle name="표준 2 4 4 6 3" xfId="1353"/>
    <cellStyle name="표준 2 4 4 6 3 2" xfId="8060"/>
    <cellStyle name="표준 2 4 4 6 3 2 2" xfId="19308"/>
    <cellStyle name="표준 2 4 4 6 3 3" xfId="2974"/>
    <cellStyle name="표준 2 4 4 6 3 3 2" xfId="14252"/>
    <cellStyle name="표준 2 4 4 6 3 4" xfId="12792"/>
    <cellStyle name="표준 2 4 4 6 4" xfId="5621"/>
    <cellStyle name="표준 2 4 4 6 4 2" xfId="16870"/>
    <cellStyle name="표준 2 4 4 6 5" xfId="2014"/>
    <cellStyle name="표준 2 4 4 6 5 2" xfId="13441"/>
    <cellStyle name="표준 2 4 4 6 6" xfId="11981"/>
    <cellStyle name="표준 2 4 4 7" xfId="641"/>
    <cellStyle name="표준 2 4 4 7 2" xfId="1443"/>
    <cellStyle name="표준 2 4 4 7 2 2" xfId="10604"/>
    <cellStyle name="표준 2 4 4 7 2 2 2" xfId="21852"/>
    <cellStyle name="표준 2 4 4 7 2 3" xfId="3057"/>
    <cellStyle name="표준 2 4 4 7 2 3 2" xfId="14335"/>
    <cellStyle name="표준 2 4 4 7 2 4" xfId="12875"/>
    <cellStyle name="표준 2 4 4 7 3" xfId="8166"/>
    <cellStyle name="표준 2 4 4 7 3 2" xfId="19414"/>
    <cellStyle name="표준 2 4 4 7 4" xfId="5727"/>
    <cellStyle name="표준 2 4 4 7 4 2" xfId="16976"/>
    <cellStyle name="표준 2 4 4 7 5" xfId="2312"/>
    <cellStyle name="표준 2 4 4 7 5 2" xfId="13727"/>
    <cellStyle name="표준 2 4 4 7 6" xfId="12267"/>
    <cellStyle name="표준 2 4 4 8" xfId="1045"/>
    <cellStyle name="표준 2 4 4 8 2" xfId="5810"/>
    <cellStyle name="표준 2 4 4 8 2 2" xfId="10687"/>
    <cellStyle name="표준 2 4 4 8 2 2 2" xfId="21935"/>
    <cellStyle name="표준 2 4 4 8 2 3" xfId="8249"/>
    <cellStyle name="표준 2 4 4 8 2 3 2" xfId="19497"/>
    <cellStyle name="표준 2 4 4 8 2 4" xfId="17059"/>
    <cellStyle name="표준 2 4 4 8 3" xfId="3667"/>
    <cellStyle name="표준 2 4 4 8 4" xfId="2666"/>
    <cellStyle name="표준 2 4 4 8 4 2" xfId="13944"/>
    <cellStyle name="표준 2 4 4 8 5" xfId="12484"/>
    <cellStyle name="표준 2 4 4 9" xfId="982"/>
    <cellStyle name="표준 2 4 4 9 2" xfId="8512"/>
    <cellStyle name="표준 2 4 4 9 2 2" xfId="19760"/>
    <cellStyle name="표준 2 4 4 9 3" xfId="6074"/>
    <cellStyle name="표준 2 4 4 9 3 2" xfId="17322"/>
    <cellStyle name="표준 2 4 4 9 4" xfId="3613"/>
    <cellStyle name="표준 2 4 4 9 4 2" xfId="14884"/>
    <cellStyle name="표준 2 4 4 9 5" xfId="2603"/>
    <cellStyle name="표준 2 4 4 9 5 2" xfId="13881"/>
    <cellStyle name="표준 2 4 4 9 6" xfId="12421"/>
    <cellStyle name="표준 2 4 5" xfId="90"/>
    <cellStyle name="표준 2 4 5 10" xfId="5812"/>
    <cellStyle name="표준 2 4 5 10 2" xfId="10689"/>
    <cellStyle name="표준 2 4 5 10 2 2" xfId="21937"/>
    <cellStyle name="표준 2 4 5 10 3" xfId="8251"/>
    <cellStyle name="표준 2 4 5 10 3 2" xfId="19499"/>
    <cellStyle name="표준 2 4 5 10 4" xfId="17061"/>
    <cellStyle name="표준 2 4 5 11" xfId="3615"/>
    <cellStyle name="표준 2 4 5 11 2" xfId="8514"/>
    <cellStyle name="표준 2 4 5 11 2 2" xfId="19762"/>
    <cellStyle name="표준 2 4 5 11 3" xfId="6076"/>
    <cellStyle name="표준 2 4 5 11 3 2" xfId="17324"/>
    <cellStyle name="표준 2 4 5 11 4" xfId="14886"/>
    <cellStyle name="표준 2 4 5 12" xfId="8335"/>
    <cellStyle name="표준 2 4 5 12 2" xfId="19583"/>
    <cellStyle name="표준 2 4 5 13" xfId="5897"/>
    <cellStyle name="표준 2 4 5 13 2" xfId="17145"/>
    <cellStyle name="표준 2 4 5 14" xfId="10781"/>
    <cellStyle name="표준 2 4 5 14 2" xfId="22029"/>
    <cellStyle name="표준 2 4 5 15" xfId="3429"/>
    <cellStyle name="표준 2 4 5 15 2" xfId="14707"/>
    <cellStyle name="표준 2 4 5 16" xfId="1806"/>
    <cellStyle name="표준 2 4 5 16 2" xfId="13235"/>
    <cellStyle name="표준 2 4 5 17" xfId="11775"/>
    <cellStyle name="표준 2 4 5 2" xfId="172"/>
    <cellStyle name="표준 2 4 5 2 10" xfId="1846"/>
    <cellStyle name="표준 2 4 5 2 10 2" xfId="13273"/>
    <cellStyle name="표준 2 4 5 2 11" xfId="11813"/>
    <cellStyle name="표준 2 4 5 2 2" xfId="284"/>
    <cellStyle name="표준 2 4 5 2 2 2" xfId="568"/>
    <cellStyle name="표준 2 4 5 2 2 2 2" xfId="1656"/>
    <cellStyle name="표준 2 4 5 2 2 2 2 2" xfId="10236"/>
    <cellStyle name="표준 2 4 5 2 2 2 2 2 2" xfId="21484"/>
    <cellStyle name="표준 2 4 5 2 2 2 2 3" xfId="7798"/>
    <cellStyle name="표준 2 4 5 2 2 2 2 3 2" xfId="19046"/>
    <cellStyle name="표준 2 4 5 2 2 2 2 4" xfId="5359"/>
    <cellStyle name="표준 2 4 5 2 2 2 2 4 2" xfId="16608"/>
    <cellStyle name="표준 2 4 5 2 2 2 2 5" xfId="3268"/>
    <cellStyle name="표준 2 4 5 2 2 2 2 5 2" xfId="14546"/>
    <cellStyle name="표준 2 4 5 2 2 2 2 6" xfId="13086"/>
    <cellStyle name="표준 2 4 5 2 2 2 3" xfId="9246"/>
    <cellStyle name="표준 2 4 5 2 2 2 3 2" xfId="20494"/>
    <cellStyle name="표준 2 4 5 2 2 2 4" xfId="6808"/>
    <cellStyle name="표준 2 4 5 2 2 2 4 2" xfId="18056"/>
    <cellStyle name="표준 2 4 5 2 2 2 5" xfId="4367"/>
    <cellStyle name="표준 2 4 5 2 2 2 5 2" xfId="15618"/>
    <cellStyle name="표준 2 4 5 2 2 2 6" xfId="2240"/>
    <cellStyle name="표준 2 4 5 2 2 2 6 2" xfId="13667"/>
    <cellStyle name="표준 2 4 5 2 2 2 7" xfId="12207"/>
    <cellStyle name="표준 2 4 5 2 2 3" xfId="1271"/>
    <cellStyle name="표준 2 4 5 2 2 3 2" xfId="9783"/>
    <cellStyle name="표준 2 4 5 2 2 3 2 2" xfId="21031"/>
    <cellStyle name="표준 2 4 5 2 2 3 3" xfId="7345"/>
    <cellStyle name="표준 2 4 5 2 2 3 3 2" xfId="18593"/>
    <cellStyle name="표준 2 4 5 2 2 3 4" xfId="4906"/>
    <cellStyle name="표준 2 4 5 2 2 3 4 2" xfId="16155"/>
    <cellStyle name="표준 2 4 5 2 2 3 5" xfId="2892"/>
    <cellStyle name="표준 2 4 5 2 2 3 5 2" xfId="14170"/>
    <cellStyle name="표준 2 4 5 2 2 3 6" xfId="12710"/>
    <cellStyle name="표준 2 4 5 2 2 4" xfId="8793"/>
    <cellStyle name="표준 2 4 5 2 2 4 2" xfId="20041"/>
    <cellStyle name="표준 2 4 5 2 2 5" xfId="6355"/>
    <cellStyle name="표준 2 4 5 2 2 5 2" xfId="17603"/>
    <cellStyle name="표준 2 4 5 2 2 6" xfId="11049"/>
    <cellStyle name="표준 2 4 5 2 2 6 2" xfId="22296"/>
    <cellStyle name="표준 2 4 5 2 2 7" xfId="3914"/>
    <cellStyle name="표준 2 4 5 2 2 7 2" xfId="15165"/>
    <cellStyle name="표준 2 4 5 2 2 8" xfId="1956"/>
    <cellStyle name="표준 2 4 5 2 2 8 2" xfId="13383"/>
    <cellStyle name="표준 2 4 5 2 2 9" xfId="11923"/>
    <cellStyle name="표준 2 4 5 2 3" xfId="458"/>
    <cellStyle name="표준 2 4 5 2 3 2" xfId="1551"/>
    <cellStyle name="표준 2 4 5 2 3 2 2" xfId="10009"/>
    <cellStyle name="표준 2 4 5 2 3 2 2 2" xfId="21257"/>
    <cellStyle name="표준 2 4 5 2 3 2 3" xfId="7571"/>
    <cellStyle name="표준 2 4 5 2 3 2 3 2" xfId="18819"/>
    <cellStyle name="표준 2 4 5 2 3 2 4" xfId="5132"/>
    <cellStyle name="표준 2 4 5 2 3 2 4 2" xfId="16381"/>
    <cellStyle name="표준 2 4 5 2 3 2 5" xfId="3163"/>
    <cellStyle name="표준 2 4 5 2 3 2 5 2" xfId="14441"/>
    <cellStyle name="표준 2 4 5 2 3 2 6" xfId="12981"/>
    <cellStyle name="표준 2 4 5 2 3 3" xfId="9019"/>
    <cellStyle name="표준 2 4 5 2 3 3 2" xfId="20267"/>
    <cellStyle name="표준 2 4 5 2 3 4" xfId="6581"/>
    <cellStyle name="표준 2 4 5 2 3 4 2" xfId="17829"/>
    <cellStyle name="표준 2 4 5 2 3 5" xfId="4140"/>
    <cellStyle name="표준 2 4 5 2 3 5 2" xfId="15391"/>
    <cellStyle name="표준 2 4 5 2 3 6" xfId="2130"/>
    <cellStyle name="표준 2 4 5 2 3 6 2" xfId="13557"/>
    <cellStyle name="표준 2 4 5 2 3 7" xfId="12097"/>
    <cellStyle name="표준 2 4 5 2 4" xfId="792"/>
    <cellStyle name="표준 2 4 5 2 4 2" xfId="9557"/>
    <cellStyle name="표준 2 4 5 2 4 2 2" xfId="20805"/>
    <cellStyle name="표준 2 4 5 2 4 3" xfId="7119"/>
    <cellStyle name="표준 2 4 5 2 4 3 2" xfId="18367"/>
    <cellStyle name="표준 2 4 5 2 4 4" xfId="4680"/>
    <cellStyle name="표준 2 4 5 2 4 4 2" xfId="15929"/>
    <cellStyle name="표준 2 4 5 2 4 5" xfId="2419"/>
    <cellStyle name="표준 2 4 5 2 4 5 2" xfId="13814"/>
    <cellStyle name="표준 2 4 5 2 4 6" xfId="12354"/>
    <cellStyle name="표준 2 4 5 2 5" xfId="1161"/>
    <cellStyle name="표준 2 4 5 2 5 2" xfId="8582"/>
    <cellStyle name="표준 2 4 5 2 5 2 2" xfId="19830"/>
    <cellStyle name="표준 2 4 5 2 5 3" xfId="6144"/>
    <cellStyle name="표준 2 4 5 2 5 3 2" xfId="17392"/>
    <cellStyle name="표준 2 4 5 2 5 4" xfId="3703"/>
    <cellStyle name="표준 2 4 5 2 5 4 2" xfId="14954"/>
    <cellStyle name="표준 2 4 5 2 5 5" xfId="2782"/>
    <cellStyle name="표준 2 4 5 2 5 5 2" xfId="14060"/>
    <cellStyle name="표준 2 4 5 2 5 6" xfId="12600"/>
    <cellStyle name="표준 2 4 5 2 6" xfId="8418"/>
    <cellStyle name="표준 2 4 5 2 6 2" xfId="19666"/>
    <cellStyle name="표준 2 4 5 2 7" xfId="5980"/>
    <cellStyle name="표준 2 4 5 2 7 2" xfId="17228"/>
    <cellStyle name="표준 2 4 5 2 8" xfId="10864"/>
    <cellStyle name="표준 2 4 5 2 8 2" xfId="22112"/>
    <cellStyle name="표준 2 4 5 2 9" xfId="3518"/>
    <cellStyle name="표준 2 4 5 2 9 2" xfId="14790"/>
    <cellStyle name="표준 2 4 5 3" xfId="246"/>
    <cellStyle name="표준 2 4 5 3 10" xfId="11885"/>
    <cellStyle name="표준 2 4 5 3 2" xfId="530"/>
    <cellStyle name="표준 2 4 5 3 2 2" xfId="1618"/>
    <cellStyle name="표준 2 4 5 3 2 2 2" xfId="5445"/>
    <cellStyle name="표준 2 4 5 3 2 2 2 2" xfId="10322"/>
    <cellStyle name="표준 2 4 5 3 2 2 2 2 2" xfId="21570"/>
    <cellStyle name="표준 2 4 5 3 2 2 2 3" xfId="7884"/>
    <cellStyle name="표준 2 4 5 3 2 2 2 3 2" xfId="19132"/>
    <cellStyle name="표준 2 4 5 3 2 2 2 4" xfId="16694"/>
    <cellStyle name="표준 2 4 5 3 2 2 3" xfId="9332"/>
    <cellStyle name="표준 2 4 5 3 2 2 3 2" xfId="20580"/>
    <cellStyle name="표준 2 4 5 3 2 2 4" xfId="6894"/>
    <cellStyle name="표준 2 4 5 3 2 2 4 2" xfId="18142"/>
    <cellStyle name="표준 2 4 5 3 2 2 5" xfId="4453"/>
    <cellStyle name="표준 2 4 5 3 2 2 5 2" xfId="15704"/>
    <cellStyle name="표준 2 4 5 3 2 2 6" xfId="3230"/>
    <cellStyle name="표준 2 4 5 3 2 2 6 2" xfId="14508"/>
    <cellStyle name="표준 2 4 5 3 2 2 7" xfId="13048"/>
    <cellStyle name="표준 2 4 5 3 2 3" xfId="4992"/>
    <cellStyle name="표준 2 4 5 3 2 3 2" xfId="9869"/>
    <cellStyle name="표준 2 4 5 3 2 3 2 2" xfId="21117"/>
    <cellStyle name="표준 2 4 5 3 2 3 3" xfId="7431"/>
    <cellStyle name="표준 2 4 5 3 2 3 3 2" xfId="18679"/>
    <cellStyle name="표준 2 4 5 3 2 3 4" xfId="16241"/>
    <cellStyle name="표준 2 4 5 3 2 4" xfId="8879"/>
    <cellStyle name="표준 2 4 5 3 2 4 2" xfId="20127"/>
    <cellStyle name="표준 2 4 5 3 2 5" xfId="6441"/>
    <cellStyle name="표준 2 4 5 3 2 5 2" xfId="17689"/>
    <cellStyle name="표준 2 4 5 3 2 6" xfId="4000"/>
    <cellStyle name="표준 2 4 5 3 2 6 2" xfId="15251"/>
    <cellStyle name="표준 2 4 5 3 2 7" xfId="2202"/>
    <cellStyle name="표준 2 4 5 3 2 7 2" xfId="13629"/>
    <cellStyle name="표준 2 4 5 3 2 8" xfId="12169"/>
    <cellStyle name="표준 2 4 5 3 3" xfId="1233"/>
    <cellStyle name="표준 2 4 5 3 3 2" xfId="5218"/>
    <cellStyle name="표준 2 4 5 3 3 2 2" xfId="10095"/>
    <cellStyle name="표준 2 4 5 3 3 2 2 2" xfId="21343"/>
    <cellStyle name="표준 2 4 5 3 3 2 3" xfId="7657"/>
    <cellStyle name="표준 2 4 5 3 3 2 3 2" xfId="18905"/>
    <cellStyle name="표준 2 4 5 3 3 2 4" xfId="16467"/>
    <cellStyle name="표준 2 4 5 3 3 3" xfId="9105"/>
    <cellStyle name="표준 2 4 5 3 3 3 2" xfId="20353"/>
    <cellStyle name="표준 2 4 5 3 3 4" xfId="6667"/>
    <cellStyle name="표준 2 4 5 3 3 4 2" xfId="17915"/>
    <cellStyle name="표준 2 4 5 3 3 5" xfId="4226"/>
    <cellStyle name="표준 2 4 5 3 3 5 2" xfId="15477"/>
    <cellStyle name="표준 2 4 5 3 3 6" xfId="2854"/>
    <cellStyle name="표준 2 4 5 3 3 6 2" xfId="14132"/>
    <cellStyle name="표준 2 4 5 3 3 7" xfId="12672"/>
    <cellStyle name="표준 2 4 5 3 4" xfId="4766"/>
    <cellStyle name="표준 2 4 5 3 4 2" xfId="9643"/>
    <cellStyle name="표준 2 4 5 3 4 2 2" xfId="20891"/>
    <cellStyle name="표준 2 4 5 3 4 3" xfId="7205"/>
    <cellStyle name="표준 2 4 5 3 4 3 2" xfId="18453"/>
    <cellStyle name="표준 2 4 5 3 4 4" xfId="16015"/>
    <cellStyle name="표준 2 4 5 3 5" xfId="8653"/>
    <cellStyle name="표준 2 4 5 3 5 2" xfId="19901"/>
    <cellStyle name="표준 2 4 5 3 6" xfId="6215"/>
    <cellStyle name="표준 2 4 5 3 6 2" xfId="17463"/>
    <cellStyle name="표준 2 4 5 3 7" xfId="10966"/>
    <cellStyle name="표준 2 4 5 3 7 2" xfId="22213"/>
    <cellStyle name="표준 2 4 5 3 8" xfId="3774"/>
    <cellStyle name="표준 2 4 5 3 8 2" xfId="15025"/>
    <cellStyle name="표준 2 4 5 3 9" xfId="1918"/>
    <cellStyle name="표준 2 4 5 3 9 2" xfId="13345"/>
    <cellStyle name="표준 2 4 5 4" xfId="420"/>
    <cellStyle name="표준 2 4 5 4 2" xfId="1518"/>
    <cellStyle name="표준 2 4 5 4 2 2" xfId="5280"/>
    <cellStyle name="표준 2 4 5 4 2 2 2" xfId="10157"/>
    <cellStyle name="표준 2 4 5 4 2 2 2 2" xfId="21405"/>
    <cellStyle name="표준 2 4 5 4 2 2 3" xfId="7719"/>
    <cellStyle name="표준 2 4 5 4 2 2 3 2" xfId="18967"/>
    <cellStyle name="표준 2 4 5 4 2 2 4" xfId="16529"/>
    <cellStyle name="표준 2 4 5 4 2 3" xfId="9167"/>
    <cellStyle name="표준 2 4 5 4 2 3 2" xfId="20415"/>
    <cellStyle name="표준 2 4 5 4 2 4" xfId="6729"/>
    <cellStyle name="표준 2 4 5 4 2 4 2" xfId="17977"/>
    <cellStyle name="표준 2 4 5 4 2 5" xfId="4288"/>
    <cellStyle name="표준 2 4 5 4 2 5 2" xfId="15539"/>
    <cellStyle name="표준 2 4 5 4 2 6" xfId="3130"/>
    <cellStyle name="표준 2 4 5 4 2 6 2" xfId="14408"/>
    <cellStyle name="표준 2 4 5 4 2 7" xfId="12948"/>
    <cellStyle name="표준 2 4 5 4 3" xfId="1123"/>
    <cellStyle name="표준 2 4 5 4 3 2" xfId="9704"/>
    <cellStyle name="표준 2 4 5 4 3 2 2" xfId="20952"/>
    <cellStyle name="표준 2 4 5 4 3 3" xfId="7266"/>
    <cellStyle name="표준 2 4 5 4 3 3 2" xfId="18514"/>
    <cellStyle name="표준 2 4 5 4 3 4" xfId="4827"/>
    <cellStyle name="표준 2 4 5 4 3 4 2" xfId="16076"/>
    <cellStyle name="표준 2 4 5 4 3 5" xfId="2744"/>
    <cellStyle name="표준 2 4 5 4 3 5 2" xfId="14022"/>
    <cellStyle name="표준 2 4 5 4 3 6" xfId="12562"/>
    <cellStyle name="표준 2 4 5 4 4" xfId="8714"/>
    <cellStyle name="표준 2 4 5 4 4 2" xfId="19962"/>
    <cellStyle name="표준 2 4 5 4 5" xfId="6276"/>
    <cellStyle name="표준 2 4 5 4 5 2" xfId="17524"/>
    <cellStyle name="표준 2 4 5 4 6" xfId="3835"/>
    <cellStyle name="표준 2 4 5 4 6 2" xfId="15086"/>
    <cellStyle name="표준 2 4 5 4 7" xfId="2092"/>
    <cellStyle name="표준 2 4 5 4 7 2" xfId="13519"/>
    <cellStyle name="표준 2 4 5 4 8" xfId="12059"/>
    <cellStyle name="표준 2 4 5 5" xfId="348"/>
    <cellStyle name="표준 2 4 5 5 2" xfId="1737"/>
    <cellStyle name="표준 2 4 5 5 2 2" xfId="9930"/>
    <cellStyle name="표준 2 4 5 5 2 2 2" xfId="21178"/>
    <cellStyle name="표준 2 4 5 5 2 3" xfId="7492"/>
    <cellStyle name="표준 2 4 5 5 2 3 2" xfId="18740"/>
    <cellStyle name="표준 2 4 5 5 2 4" xfId="5053"/>
    <cellStyle name="표준 2 4 5 5 2 4 2" xfId="16302"/>
    <cellStyle name="표준 2 4 5 5 2 5" xfId="3349"/>
    <cellStyle name="표준 2 4 5 5 2 5 2" xfId="14627"/>
    <cellStyle name="표준 2 4 5 5 2 6" xfId="13167"/>
    <cellStyle name="표준 2 4 5 5 3" xfId="1355"/>
    <cellStyle name="표준 2 4 5 5 3 2" xfId="8940"/>
    <cellStyle name="표준 2 4 5 5 3 2 2" xfId="20188"/>
    <cellStyle name="표준 2 4 5 5 3 3" xfId="2976"/>
    <cellStyle name="표준 2 4 5 5 3 3 2" xfId="14254"/>
    <cellStyle name="표준 2 4 5 5 3 4" xfId="12794"/>
    <cellStyle name="표준 2 4 5 5 4" xfId="6502"/>
    <cellStyle name="표준 2 4 5 5 4 2" xfId="17750"/>
    <cellStyle name="표준 2 4 5 5 5" xfId="4061"/>
    <cellStyle name="표준 2 4 5 5 5 2" xfId="15312"/>
    <cellStyle name="표준 2 4 5 5 6" xfId="2020"/>
    <cellStyle name="표준 2 4 5 5 6 2" xfId="13447"/>
    <cellStyle name="표준 2 4 5 5 7" xfId="11987"/>
    <cellStyle name="표준 2 4 5 6" xfId="689"/>
    <cellStyle name="표준 2 4 5 6 2" xfId="1445"/>
    <cellStyle name="표준 2 4 5 6 2 2" xfId="10416"/>
    <cellStyle name="표준 2 4 5 6 2 2 2" xfId="21664"/>
    <cellStyle name="표준 2 4 5 6 2 3" xfId="7978"/>
    <cellStyle name="표준 2 4 5 6 2 3 2" xfId="19226"/>
    <cellStyle name="표준 2 4 5 6 2 4" xfId="5539"/>
    <cellStyle name="표준 2 4 5 6 2 4 2" xfId="16788"/>
    <cellStyle name="표준 2 4 5 6 2 5" xfId="3059"/>
    <cellStyle name="표준 2 4 5 6 2 5 2" xfId="14337"/>
    <cellStyle name="표준 2 4 5 6 2 6" xfId="12877"/>
    <cellStyle name="표준 2 4 5 6 3" xfId="9426"/>
    <cellStyle name="표준 2 4 5 6 3 2" xfId="20674"/>
    <cellStyle name="표준 2 4 5 6 4" xfId="6988"/>
    <cellStyle name="표준 2 4 5 6 4 2" xfId="18236"/>
    <cellStyle name="표준 2 4 5 6 5" xfId="4549"/>
    <cellStyle name="표준 2 4 5 6 5 2" xfId="15798"/>
    <cellStyle name="표준 2 4 5 6 6" xfId="2321"/>
    <cellStyle name="표준 2 4 5 6 6 2" xfId="13734"/>
    <cellStyle name="표준 2 4 5 6 7" xfId="12274"/>
    <cellStyle name="표준 2 4 5 7" xfId="1051"/>
    <cellStyle name="표준 2 4 5 7 2" xfId="9478"/>
    <cellStyle name="표준 2 4 5 7 2 2" xfId="20726"/>
    <cellStyle name="표준 2 4 5 7 3" xfId="7040"/>
    <cellStyle name="표준 2 4 5 7 3 2" xfId="18288"/>
    <cellStyle name="표준 2 4 5 7 4" xfId="4601"/>
    <cellStyle name="표준 2 4 5 7 4 2" xfId="15850"/>
    <cellStyle name="표준 2 4 5 7 5" xfId="2672"/>
    <cellStyle name="표준 2 4 5 7 5 2" xfId="13950"/>
    <cellStyle name="표준 2 4 5 7 6" xfId="12490"/>
    <cellStyle name="표준 2 4 5 8" xfId="987"/>
    <cellStyle name="표준 2 4 5 8 2" xfId="10500"/>
    <cellStyle name="표준 2 4 5 8 2 2" xfId="21748"/>
    <cellStyle name="표준 2 4 5 8 3" xfId="8062"/>
    <cellStyle name="표준 2 4 5 8 3 2" xfId="19310"/>
    <cellStyle name="표준 2 4 5 8 4" xfId="5623"/>
    <cellStyle name="표준 2 4 5 8 4 2" xfId="16872"/>
    <cellStyle name="표준 2 4 5 8 5" xfId="2608"/>
    <cellStyle name="표준 2 4 5 8 5 2" xfId="13886"/>
    <cellStyle name="표준 2 4 5 8 6" xfId="12426"/>
    <cellStyle name="표준 2 4 5 9" xfId="5729"/>
    <cellStyle name="표준 2 4 5 9 2" xfId="10606"/>
    <cellStyle name="표준 2 4 5 9 2 2" xfId="21854"/>
    <cellStyle name="표준 2 4 5 9 3" xfId="8168"/>
    <cellStyle name="표준 2 4 5 9 3 2" xfId="19416"/>
    <cellStyle name="표준 2 4 5 9 4" xfId="16978"/>
    <cellStyle name="표준 2 4 6" xfId="198"/>
    <cellStyle name="표준 2 4 6 10" xfId="3616"/>
    <cellStyle name="표준 2 4 6 10 2" xfId="8515"/>
    <cellStyle name="표준 2 4 6 10 2 2" xfId="19763"/>
    <cellStyle name="표준 2 4 6 10 3" xfId="6077"/>
    <cellStyle name="표준 2 4 6 10 3 2" xfId="17325"/>
    <cellStyle name="표준 2 4 6 10 4" xfId="14887"/>
    <cellStyle name="표준 2 4 6 11" xfId="8336"/>
    <cellStyle name="표준 2 4 6 11 2" xfId="19584"/>
    <cellStyle name="표준 2 4 6 12" xfId="5898"/>
    <cellStyle name="표준 2 4 6 12 2" xfId="17146"/>
    <cellStyle name="표준 2 4 6 13" xfId="10782"/>
    <cellStyle name="표준 2 4 6 13 2" xfId="22030"/>
    <cellStyle name="표준 2 4 6 14" xfId="3430"/>
    <cellStyle name="표준 2 4 6 14 2" xfId="14708"/>
    <cellStyle name="표준 2 4 6 15" xfId="1871"/>
    <cellStyle name="표준 2 4 6 15 2" xfId="13298"/>
    <cellStyle name="표준 2 4 6 16" xfId="11838"/>
    <cellStyle name="표준 2 4 6 2" xfId="309"/>
    <cellStyle name="표준 2 4 6 2 10" xfId="1981"/>
    <cellStyle name="표준 2 4 6 2 10 2" xfId="13408"/>
    <cellStyle name="표준 2 4 6 2 11" xfId="11948"/>
    <cellStyle name="표준 2 4 6 2 2" xfId="593"/>
    <cellStyle name="표준 2 4 6 2 2 2" xfId="1681"/>
    <cellStyle name="표준 2 4 6 2 2 2 2" xfId="5446"/>
    <cellStyle name="표준 2 4 6 2 2 2 2 2" xfId="10323"/>
    <cellStyle name="표준 2 4 6 2 2 2 2 2 2" xfId="21571"/>
    <cellStyle name="표준 2 4 6 2 2 2 2 3" xfId="7885"/>
    <cellStyle name="표준 2 4 6 2 2 2 2 3 2" xfId="19133"/>
    <cellStyle name="표준 2 4 6 2 2 2 2 4" xfId="16695"/>
    <cellStyle name="표준 2 4 6 2 2 2 3" xfId="9333"/>
    <cellStyle name="표준 2 4 6 2 2 2 3 2" xfId="20581"/>
    <cellStyle name="표준 2 4 6 2 2 2 4" xfId="6895"/>
    <cellStyle name="표준 2 4 6 2 2 2 4 2" xfId="18143"/>
    <cellStyle name="표준 2 4 6 2 2 2 5" xfId="4454"/>
    <cellStyle name="표준 2 4 6 2 2 2 5 2" xfId="15705"/>
    <cellStyle name="표준 2 4 6 2 2 2 6" xfId="3293"/>
    <cellStyle name="표준 2 4 6 2 2 2 6 2" xfId="14571"/>
    <cellStyle name="표준 2 4 6 2 2 2 7" xfId="13111"/>
    <cellStyle name="표준 2 4 6 2 2 3" xfId="4993"/>
    <cellStyle name="표준 2 4 6 2 2 3 2" xfId="9870"/>
    <cellStyle name="표준 2 4 6 2 2 3 2 2" xfId="21118"/>
    <cellStyle name="표준 2 4 6 2 2 3 3" xfId="7432"/>
    <cellStyle name="표준 2 4 6 2 2 3 3 2" xfId="18680"/>
    <cellStyle name="표준 2 4 6 2 2 3 4" xfId="16242"/>
    <cellStyle name="표준 2 4 6 2 2 4" xfId="8880"/>
    <cellStyle name="표준 2 4 6 2 2 4 2" xfId="20128"/>
    <cellStyle name="표준 2 4 6 2 2 5" xfId="6442"/>
    <cellStyle name="표준 2 4 6 2 2 5 2" xfId="17690"/>
    <cellStyle name="표준 2 4 6 2 2 6" xfId="11050"/>
    <cellStyle name="표준 2 4 6 2 2 6 2" xfId="22297"/>
    <cellStyle name="표준 2 4 6 2 2 7" xfId="4001"/>
    <cellStyle name="표준 2 4 6 2 2 7 2" xfId="15252"/>
    <cellStyle name="표준 2 4 6 2 2 8" xfId="2265"/>
    <cellStyle name="표준 2 4 6 2 2 8 2" xfId="13692"/>
    <cellStyle name="표준 2 4 6 2 2 9" xfId="12232"/>
    <cellStyle name="표준 2 4 6 2 3" xfId="1296"/>
    <cellStyle name="표준 2 4 6 2 3 2" xfId="5219"/>
    <cellStyle name="표준 2 4 6 2 3 2 2" xfId="10096"/>
    <cellStyle name="표준 2 4 6 2 3 2 2 2" xfId="21344"/>
    <cellStyle name="표준 2 4 6 2 3 2 3" xfId="7658"/>
    <cellStyle name="표준 2 4 6 2 3 2 3 2" xfId="18906"/>
    <cellStyle name="표준 2 4 6 2 3 2 4" xfId="16468"/>
    <cellStyle name="표준 2 4 6 2 3 3" xfId="9106"/>
    <cellStyle name="표준 2 4 6 2 3 3 2" xfId="20354"/>
    <cellStyle name="표준 2 4 6 2 3 4" xfId="6668"/>
    <cellStyle name="표준 2 4 6 2 3 4 2" xfId="17916"/>
    <cellStyle name="표준 2 4 6 2 3 5" xfId="4227"/>
    <cellStyle name="표준 2 4 6 2 3 5 2" xfId="15478"/>
    <cellStyle name="표준 2 4 6 2 3 6" xfId="2917"/>
    <cellStyle name="표준 2 4 6 2 3 6 2" xfId="14195"/>
    <cellStyle name="표준 2 4 6 2 3 7" xfId="12735"/>
    <cellStyle name="표준 2 4 6 2 4" xfId="4767"/>
    <cellStyle name="표준 2 4 6 2 4 2" xfId="9644"/>
    <cellStyle name="표준 2 4 6 2 4 2 2" xfId="20892"/>
    <cellStyle name="표준 2 4 6 2 4 3" xfId="7206"/>
    <cellStyle name="표준 2 4 6 2 4 3 2" xfId="18454"/>
    <cellStyle name="표준 2 4 6 2 4 4" xfId="16016"/>
    <cellStyle name="표준 2 4 6 2 5" xfId="3775"/>
    <cellStyle name="표준 2 4 6 2 5 2" xfId="8654"/>
    <cellStyle name="표준 2 4 6 2 5 2 2" xfId="19902"/>
    <cellStyle name="표준 2 4 6 2 5 3" xfId="6216"/>
    <cellStyle name="표준 2 4 6 2 5 3 2" xfId="17464"/>
    <cellStyle name="표준 2 4 6 2 5 4" xfId="15026"/>
    <cellStyle name="표준 2 4 6 2 6" xfId="8419"/>
    <cellStyle name="표준 2 4 6 2 6 2" xfId="19667"/>
    <cellStyle name="표준 2 4 6 2 7" xfId="5981"/>
    <cellStyle name="표준 2 4 6 2 7 2" xfId="17229"/>
    <cellStyle name="표준 2 4 6 2 8" xfId="10865"/>
    <cellStyle name="표준 2 4 6 2 8 2" xfId="22113"/>
    <cellStyle name="표준 2 4 6 2 9" xfId="3519"/>
    <cellStyle name="표준 2 4 6 2 9 2" xfId="14791"/>
    <cellStyle name="표준 2 4 6 3" xfId="483"/>
    <cellStyle name="표준 2 4 6 3 2" xfId="1576"/>
    <cellStyle name="표준 2 4 6 3 2 2" xfId="5360"/>
    <cellStyle name="표준 2 4 6 3 2 2 2" xfId="10237"/>
    <cellStyle name="표준 2 4 6 3 2 2 2 2" xfId="21485"/>
    <cellStyle name="표준 2 4 6 3 2 2 3" xfId="7799"/>
    <cellStyle name="표준 2 4 6 3 2 2 3 2" xfId="19047"/>
    <cellStyle name="표준 2 4 6 3 2 2 4" xfId="16609"/>
    <cellStyle name="표준 2 4 6 3 2 3" xfId="9247"/>
    <cellStyle name="표준 2 4 6 3 2 3 2" xfId="20495"/>
    <cellStyle name="표준 2 4 6 3 2 4" xfId="6809"/>
    <cellStyle name="표준 2 4 6 3 2 4 2" xfId="18057"/>
    <cellStyle name="표준 2 4 6 3 2 5" xfId="4368"/>
    <cellStyle name="표준 2 4 6 3 2 5 2" xfId="15619"/>
    <cellStyle name="표준 2 4 6 3 2 6" xfId="3188"/>
    <cellStyle name="표준 2 4 6 3 2 6 2" xfId="14466"/>
    <cellStyle name="표준 2 4 6 3 2 7" xfId="13006"/>
    <cellStyle name="표준 2 4 6 3 3" xfId="1186"/>
    <cellStyle name="표준 2 4 6 3 3 2" xfId="9784"/>
    <cellStyle name="표준 2 4 6 3 3 2 2" xfId="21032"/>
    <cellStyle name="표준 2 4 6 3 3 3" xfId="7346"/>
    <cellStyle name="표준 2 4 6 3 3 3 2" xfId="18594"/>
    <cellStyle name="표준 2 4 6 3 3 4" xfId="4907"/>
    <cellStyle name="표준 2 4 6 3 3 4 2" xfId="16156"/>
    <cellStyle name="표준 2 4 6 3 3 5" xfId="2807"/>
    <cellStyle name="표준 2 4 6 3 3 5 2" xfId="14085"/>
    <cellStyle name="표준 2 4 6 3 3 6" xfId="12625"/>
    <cellStyle name="표준 2 4 6 3 4" xfId="8794"/>
    <cellStyle name="표준 2 4 6 3 4 2" xfId="20042"/>
    <cellStyle name="표준 2 4 6 3 5" xfId="6356"/>
    <cellStyle name="표준 2 4 6 3 5 2" xfId="17604"/>
    <cellStyle name="표준 2 4 6 3 6" xfId="10967"/>
    <cellStyle name="표준 2 4 6 3 6 2" xfId="22214"/>
    <cellStyle name="표준 2 4 6 3 7" xfId="3915"/>
    <cellStyle name="표준 2 4 6 3 7 2" xfId="15166"/>
    <cellStyle name="표준 2 4 6 3 8" xfId="2155"/>
    <cellStyle name="표준 2 4 6 3 8 2" xfId="13582"/>
    <cellStyle name="표준 2 4 6 3 9" xfId="12122"/>
    <cellStyle name="표준 2 4 6 4" xfId="373"/>
    <cellStyle name="표준 2 4 6 4 2" xfId="1738"/>
    <cellStyle name="표준 2 4 6 4 2 2" xfId="10010"/>
    <cellStyle name="표준 2 4 6 4 2 2 2" xfId="21258"/>
    <cellStyle name="표준 2 4 6 4 2 3" xfId="7572"/>
    <cellStyle name="표준 2 4 6 4 2 3 2" xfId="18820"/>
    <cellStyle name="표준 2 4 6 4 2 4" xfId="5133"/>
    <cellStyle name="표준 2 4 6 4 2 4 2" xfId="16382"/>
    <cellStyle name="표준 2 4 6 4 2 5" xfId="3350"/>
    <cellStyle name="표준 2 4 6 4 2 5 2" xfId="14628"/>
    <cellStyle name="표준 2 4 6 4 2 6" xfId="13168"/>
    <cellStyle name="표준 2 4 6 4 3" xfId="1356"/>
    <cellStyle name="표준 2 4 6 4 3 2" xfId="9020"/>
    <cellStyle name="표준 2 4 6 4 3 2 2" xfId="20268"/>
    <cellStyle name="표준 2 4 6 4 3 3" xfId="2977"/>
    <cellStyle name="표준 2 4 6 4 3 3 2" xfId="14255"/>
    <cellStyle name="표준 2 4 6 4 3 4" xfId="12795"/>
    <cellStyle name="표준 2 4 6 4 4" xfId="6582"/>
    <cellStyle name="표준 2 4 6 4 4 2" xfId="17830"/>
    <cellStyle name="표준 2 4 6 4 5" xfId="4141"/>
    <cellStyle name="표준 2 4 6 4 5 2" xfId="15392"/>
    <cellStyle name="표준 2 4 6 4 6" xfId="2045"/>
    <cellStyle name="표준 2 4 6 4 6 2" xfId="13472"/>
    <cellStyle name="표준 2 4 6 4 7" xfId="12012"/>
    <cellStyle name="표준 2 4 6 5" xfId="793"/>
    <cellStyle name="표준 2 4 6 5 2" xfId="1446"/>
    <cellStyle name="표준 2 4 6 5 2 2" xfId="10417"/>
    <cellStyle name="표준 2 4 6 5 2 2 2" xfId="21665"/>
    <cellStyle name="표준 2 4 6 5 2 3" xfId="7979"/>
    <cellStyle name="표준 2 4 6 5 2 3 2" xfId="19227"/>
    <cellStyle name="표준 2 4 6 5 2 4" xfId="5540"/>
    <cellStyle name="표준 2 4 6 5 2 4 2" xfId="16789"/>
    <cellStyle name="표준 2 4 6 5 2 5" xfId="3060"/>
    <cellStyle name="표준 2 4 6 5 2 5 2" xfId="14338"/>
    <cellStyle name="표준 2 4 6 5 2 6" xfId="12878"/>
    <cellStyle name="표준 2 4 6 5 3" xfId="9427"/>
    <cellStyle name="표준 2 4 6 5 3 2" xfId="20675"/>
    <cellStyle name="표준 2 4 6 5 4" xfId="6989"/>
    <cellStyle name="표준 2 4 6 5 4 2" xfId="18237"/>
    <cellStyle name="표준 2 4 6 5 5" xfId="4550"/>
    <cellStyle name="표준 2 4 6 5 5 2" xfId="15799"/>
    <cellStyle name="표준 2 4 6 5 6" xfId="2420"/>
    <cellStyle name="표준 2 4 6 5 6 2" xfId="13815"/>
    <cellStyle name="표준 2 4 6 5 7" xfId="12355"/>
    <cellStyle name="표준 2 4 6 6" xfId="1076"/>
    <cellStyle name="표준 2 4 6 6 2" xfId="9558"/>
    <cellStyle name="표준 2 4 6 6 2 2" xfId="20806"/>
    <cellStyle name="표준 2 4 6 6 3" xfId="7120"/>
    <cellStyle name="표준 2 4 6 6 3 2" xfId="18368"/>
    <cellStyle name="표준 2 4 6 6 4" xfId="4681"/>
    <cellStyle name="표준 2 4 6 6 4 2" xfId="15930"/>
    <cellStyle name="표준 2 4 6 6 5" xfId="2697"/>
    <cellStyle name="표준 2 4 6 6 5 2" xfId="13975"/>
    <cellStyle name="표준 2 4 6 6 6" xfId="12515"/>
    <cellStyle name="표준 2 4 6 7" xfId="1012"/>
    <cellStyle name="표준 2 4 6 7 2" xfId="10501"/>
    <cellStyle name="표준 2 4 6 7 2 2" xfId="21749"/>
    <cellStyle name="표준 2 4 6 7 3" xfId="8063"/>
    <cellStyle name="표준 2 4 6 7 3 2" xfId="19311"/>
    <cellStyle name="표준 2 4 6 7 4" xfId="5624"/>
    <cellStyle name="표준 2 4 6 7 4 2" xfId="16873"/>
    <cellStyle name="표준 2 4 6 7 5" xfId="2633"/>
    <cellStyle name="표준 2 4 6 7 5 2" xfId="13911"/>
    <cellStyle name="표준 2 4 6 7 6" xfId="12451"/>
    <cellStyle name="표준 2 4 6 8" xfId="5730"/>
    <cellStyle name="표준 2 4 6 8 2" xfId="10607"/>
    <cellStyle name="표준 2 4 6 8 2 2" xfId="21855"/>
    <cellStyle name="표준 2 4 6 8 3" xfId="8169"/>
    <cellStyle name="표준 2 4 6 8 3 2" xfId="19417"/>
    <cellStyle name="표준 2 4 6 8 4" xfId="16979"/>
    <cellStyle name="표준 2 4 6 9" xfId="5813"/>
    <cellStyle name="표준 2 4 6 9 2" xfId="10690"/>
    <cellStyle name="표준 2 4 6 9 2 2" xfId="21938"/>
    <cellStyle name="표준 2 4 6 9 3" xfId="8252"/>
    <cellStyle name="표준 2 4 6 9 3 2" xfId="19500"/>
    <cellStyle name="표준 2 4 6 9 4" xfId="17062"/>
    <cellStyle name="표준 2 4 7" xfId="98"/>
    <cellStyle name="표준 2 4 7 10" xfId="3608"/>
    <cellStyle name="표준 2 4 7 10 2" xfId="8507"/>
    <cellStyle name="표준 2 4 7 10 2 2" xfId="19755"/>
    <cellStyle name="표준 2 4 7 10 3" xfId="6069"/>
    <cellStyle name="표준 2 4 7 10 3 2" xfId="17317"/>
    <cellStyle name="표준 2 4 7 10 4" xfId="14879"/>
    <cellStyle name="표준 2 4 7 11" xfId="8328"/>
    <cellStyle name="표준 2 4 7 11 2" xfId="19576"/>
    <cellStyle name="표준 2 4 7 12" xfId="5890"/>
    <cellStyle name="표준 2 4 7 12 2" xfId="17138"/>
    <cellStyle name="표준 2 4 7 13" xfId="10774"/>
    <cellStyle name="표준 2 4 7 13 2" xfId="22022"/>
    <cellStyle name="표준 2 4 7 14" xfId="3422"/>
    <cellStyle name="표준 2 4 7 14 2" xfId="14700"/>
    <cellStyle name="표준 2 4 7 15" xfId="1814"/>
    <cellStyle name="표준 2 4 7 15 2" xfId="13243"/>
    <cellStyle name="표준 2 4 7 16" xfId="11783"/>
    <cellStyle name="표준 2 4 7 2" xfId="254"/>
    <cellStyle name="표준 2 4 7 2 10" xfId="1926"/>
    <cellStyle name="표준 2 4 7 2 10 2" xfId="13353"/>
    <cellStyle name="표준 2 4 7 2 11" xfId="11893"/>
    <cellStyle name="표준 2 4 7 2 2" xfId="538"/>
    <cellStyle name="표준 2 4 7 2 2 2" xfId="1626"/>
    <cellStyle name="표준 2 4 7 2 2 2 2" xfId="5438"/>
    <cellStyle name="표준 2 4 7 2 2 2 2 2" xfId="10315"/>
    <cellStyle name="표준 2 4 7 2 2 2 2 2 2" xfId="21563"/>
    <cellStyle name="표준 2 4 7 2 2 2 2 3" xfId="7877"/>
    <cellStyle name="표준 2 4 7 2 2 2 2 3 2" xfId="19125"/>
    <cellStyle name="표준 2 4 7 2 2 2 2 4" xfId="16687"/>
    <cellStyle name="표준 2 4 7 2 2 2 3" xfId="9325"/>
    <cellStyle name="표준 2 4 7 2 2 2 3 2" xfId="20573"/>
    <cellStyle name="표준 2 4 7 2 2 2 4" xfId="6887"/>
    <cellStyle name="표준 2 4 7 2 2 2 4 2" xfId="18135"/>
    <cellStyle name="표준 2 4 7 2 2 2 5" xfId="4446"/>
    <cellStyle name="표준 2 4 7 2 2 2 5 2" xfId="15697"/>
    <cellStyle name="표준 2 4 7 2 2 2 6" xfId="3238"/>
    <cellStyle name="표준 2 4 7 2 2 2 6 2" xfId="14516"/>
    <cellStyle name="표준 2 4 7 2 2 2 7" xfId="13056"/>
    <cellStyle name="표준 2 4 7 2 2 3" xfId="4985"/>
    <cellStyle name="표준 2 4 7 2 2 3 2" xfId="9862"/>
    <cellStyle name="표준 2 4 7 2 2 3 2 2" xfId="21110"/>
    <cellStyle name="표준 2 4 7 2 2 3 3" xfId="7424"/>
    <cellStyle name="표준 2 4 7 2 2 3 3 2" xfId="18672"/>
    <cellStyle name="표준 2 4 7 2 2 3 4" xfId="16234"/>
    <cellStyle name="표준 2 4 7 2 2 4" xfId="8872"/>
    <cellStyle name="표준 2 4 7 2 2 4 2" xfId="20120"/>
    <cellStyle name="표준 2 4 7 2 2 5" xfId="6434"/>
    <cellStyle name="표준 2 4 7 2 2 5 2" xfId="17682"/>
    <cellStyle name="표준 2 4 7 2 2 6" xfId="11042"/>
    <cellStyle name="표준 2 4 7 2 2 6 2" xfId="22289"/>
    <cellStyle name="표준 2 4 7 2 2 7" xfId="3993"/>
    <cellStyle name="표준 2 4 7 2 2 7 2" xfId="15244"/>
    <cellStyle name="표준 2 4 7 2 2 8" xfId="2210"/>
    <cellStyle name="표준 2 4 7 2 2 8 2" xfId="13637"/>
    <cellStyle name="표준 2 4 7 2 2 9" xfId="12177"/>
    <cellStyle name="표준 2 4 7 2 3" xfId="1241"/>
    <cellStyle name="표준 2 4 7 2 3 2" xfId="5211"/>
    <cellStyle name="표준 2 4 7 2 3 2 2" xfId="10088"/>
    <cellStyle name="표준 2 4 7 2 3 2 2 2" xfId="21336"/>
    <cellStyle name="표준 2 4 7 2 3 2 3" xfId="7650"/>
    <cellStyle name="표준 2 4 7 2 3 2 3 2" xfId="18898"/>
    <cellStyle name="표준 2 4 7 2 3 2 4" xfId="16460"/>
    <cellStyle name="표준 2 4 7 2 3 3" xfId="9098"/>
    <cellStyle name="표준 2 4 7 2 3 3 2" xfId="20346"/>
    <cellStyle name="표준 2 4 7 2 3 4" xfId="6660"/>
    <cellStyle name="표준 2 4 7 2 3 4 2" xfId="17908"/>
    <cellStyle name="표준 2 4 7 2 3 5" xfId="4219"/>
    <cellStyle name="표준 2 4 7 2 3 5 2" xfId="15470"/>
    <cellStyle name="표준 2 4 7 2 3 6" xfId="2862"/>
    <cellStyle name="표준 2 4 7 2 3 6 2" xfId="14140"/>
    <cellStyle name="표준 2 4 7 2 3 7" xfId="12680"/>
    <cellStyle name="표준 2 4 7 2 4" xfId="4759"/>
    <cellStyle name="표준 2 4 7 2 4 2" xfId="9636"/>
    <cellStyle name="표준 2 4 7 2 4 2 2" xfId="20884"/>
    <cellStyle name="표준 2 4 7 2 4 3" xfId="7198"/>
    <cellStyle name="표준 2 4 7 2 4 3 2" xfId="18446"/>
    <cellStyle name="표준 2 4 7 2 4 4" xfId="16008"/>
    <cellStyle name="표준 2 4 7 2 5" xfId="3767"/>
    <cellStyle name="표준 2 4 7 2 5 2" xfId="8646"/>
    <cellStyle name="표준 2 4 7 2 5 2 2" xfId="19894"/>
    <cellStyle name="표준 2 4 7 2 5 3" xfId="6208"/>
    <cellStyle name="표준 2 4 7 2 5 3 2" xfId="17456"/>
    <cellStyle name="표준 2 4 7 2 5 4" xfId="15018"/>
    <cellStyle name="표준 2 4 7 2 6" xfId="8411"/>
    <cellStyle name="표준 2 4 7 2 6 2" xfId="19659"/>
    <cellStyle name="표준 2 4 7 2 7" xfId="5973"/>
    <cellStyle name="표준 2 4 7 2 7 2" xfId="17221"/>
    <cellStyle name="표준 2 4 7 2 8" xfId="10857"/>
    <cellStyle name="표준 2 4 7 2 8 2" xfId="22105"/>
    <cellStyle name="표준 2 4 7 2 9" xfId="3511"/>
    <cellStyle name="표준 2 4 7 2 9 2" xfId="14783"/>
    <cellStyle name="표준 2 4 7 3" xfId="428"/>
    <cellStyle name="표준 2 4 7 3 2" xfId="1730"/>
    <cellStyle name="표준 2 4 7 3 2 2" xfId="5352"/>
    <cellStyle name="표준 2 4 7 3 2 2 2" xfId="10229"/>
    <cellStyle name="표준 2 4 7 3 2 2 2 2" xfId="21477"/>
    <cellStyle name="표준 2 4 7 3 2 2 3" xfId="7791"/>
    <cellStyle name="표준 2 4 7 3 2 2 3 2" xfId="19039"/>
    <cellStyle name="표준 2 4 7 3 2 2 4" xfId="16601"/>
    <cellStyle name="표준 2 4 7 3 2 3" xfId="9239"/>
    <cellStyle name="표준 2 4 7 3 2 3 2" xfId="20487"/>
    <cellStyle name="표준 2 4 7 3 2 4" xfId="6801"/>
    <cellStyle name="표준 2 4 7 3 2 4 2" xfId="18049"/>
    <cellStyle name="표준 2 4 7 3 2 5" xfId="4360"/>
    <cellStyle name="표준 2 4 7 3 2 5 2" xfId="15611"/>
    <cellStyle name="표준 2 4 7 3 2 6" xfId="3342"/>
    <cellStyle name="표준 2 4 7 3 2 6 2" xfId="14620"/>
    <cellStyle name="표준 2 4 7 3 2 7" xfId="13160"/>
    <cellStyle name="표준 2 4 7 3 3" xfId="1348"/>
    <cellStyle name="표준 2 4 7 3 3 2" xfId="9776"/>
    <cellStyle name="표준 2 4 7 3 3 2 2" xfId="21024"/>
    <cellStyle name="표준 2 4 7 3 3 3" xfId="7338"/>
    <cellStyle name="표준 2 4 7 3 3 3 2" xfId="18586"/>
    <cellStyle name="표준 2 4 7 3 3 4" xfId="4899"/>
    <cellStyle name="표준 2 4 7 3 3 4 2" xfId="16148"/>
    <cellStyle name="표준 2 4 7 3 3 5" xfId="2969"/>
    <cellStyle name="표준 2 4 7 3 3 5 2" xfId="14247"/>
    <cellStyle name="표준 2 4 7 3 3 6" xfId="12787"/>
    <cellStyle name="표준 2 4 7 3 4" xfId="8786"/>
    <cellStyle name="표준 2 4 7 3 4 2" xfId="20034"/>
    <cellStyle name="표준 2 4 7 3 5" xfId="6348"/>
    <cellStyle name="표준 2 4 7 3 5 2" xfId="17596"/>
    <cellStyle name="표준 2 4 7 3 6" xfId="10959"/>
    <cellStyle name="표준 2 4 7 3 6 2" xfId="22206"/>
    <cellStyle name="표준 2 4 7 3 7" xfId="3907"/>
    <cellStyle name="표준 2 4 7 3 7 2" xfId="15158"/>
    <cellStyle name="표준 2 4 7 3 8" xfId="2100"/>
    <cellStyle name="표준 2 4 7 3 8 2" xfId="13527"/>
    <cellStyle name="표준 2 4 7 3 9" xfId="12067"/>
    <cellStyle name="표준 2 4 7 4" xfId="785"/>
    <cellStyle name="표준 2 4 7 4 2" xfId="1438"/>
    <cellStyle name="표준 2 4 7 4 2 2" xfId="10002"/>
    <cellStyle name="표준 2 4 7 4 2 2 2" xfId="21250"/>
    <cellStyle name="표준 2 4 7 4 2 3" xfId="7564"/>
    <cellStyle name="표준 2 4 7 4 2 3 2" xfId="18812"/>
    <cellStyle name="표준 2 4 7 4 2 4" xfId="5125"/>
    <cellStyle name="표준 2 4 7 4 2 4 2" xfId="16374"/>
    <cellStyle name="표준 2 4 7 4 2 5" xfId="3052"/>
    <cellStyle name="표준 2 4 7 4 2 5 2" xfId="14330"/>
    <cellStyle name="표준 2 4 7 4 2 6" xfId="12870"/>
    <cellStyle name="표준 2 4 7 4 3" xfId="9012"/>
    <cellStyle name="표준 2 4 7 4 3 2" xfId="20260"/>
    <cellStyle name="표준 2 4 7 4 4" xfId="6574"/>
    <cellStyle name="표준 2 4 7 4 4 2" xfId="17822"/>
    <cellStyle name="표준 2 4 7 4 5" xfId="4133"/>
    <cellStyle name="표준 2 4 7 4 5 2" xfId="15384"/>
    <cellStyle name="표준 2 4 7 4 6" xfId="2412"/>
    <cellStyle name="표준 2 4 7 4 6 2" xfId="13807"/>
    <cellStyle name="표준 2 4 7 4 7" xfId="12347"/>
    <cellStyle name="표준 2 4 7 5" xfId="1131"/>
    <cellStyle name="표준 2 4 7 5 2" xfId="5532"/>
    <cellStyle name="표준 2 4 7 5 2 2" xfId="10409"/>
    <cellStyle name="표준 2 4 7 5 2 2 2" xfId="21657"/>
    <cellStyle name="표준 2 4 7 5 2 3" xfId="7971"/>
    <cellStyle name="표준 2 4 7 5 2 3 2" xfId="19219"/>
    <cellStyle name="표준 2 4 7 5 2 4" xfId="16781"/>
    <cellStyle name="표준 2 4 7 5 3" xfId="9419"/>
    <cellStyle name="표준 2 4 7 5 3 2" xfId="20667"/>
    <cellStyle name="표준 2 4 7 5 4" xfId="6981"/>
    <cellStyle name="표준 2 4 7 5 4 2" xfId="18229"/>
    <cellStyle name="표준 2 4 7 5 5" xfId="4542"/>
    <cellStyle name="표준 2 4 7 5 5 2" xfId="15791"/>
    <cellStyle name="표준 2 4 7 5 6" xfId="2752"/>
    <cellStyle name="표준 2 4 7 5 6 2" xfId="14030"/>
    <cellStyle name="표준 2 4 7 5 7" xfId="12570"/>
    <cellStyle name="표준 2 4 7 6" xfId="957"/>
    <cellStyle name="표준 2 4 7 6 2" xfId="9550"/>
    <cellStyle name="표준 2 4 7 6 2 2" xfId="20798"/>
    <cellStyle name="표준 2 4 7 6 3" xfId="7112"/>
    <cellStyle name="표준 2 4 7 6 3 2" xfId="18360"/>
    <cellStyle name="표준 2 4 7 6 4" xfId="4673"/>
    <cellStyle name="표준 2 4 7 6 4 2" xfId="15922"/>
    <cellStyle name="표준 2 4 7 6 5" xfId="2579"/>
    <cellStyle name="표준 2 4 7 6 5 2" xfId="13857"/>
    <cellStyle name="표준 2 4 7 6 6" xfId="12397"/>
    <cellStyle name="표준 2 4 7 7" xfId="5616"/>
    <cellStyle name="표준 2 4 7 7 2" xfId="10493"/>
    <cellStyle name="표준 2 4 7 7 2 2" xfId="21741"/>
    <cellStyle name="표준 2 4 7 7 3" xfId="8055"/>
    <cellStyle name="표준 2 4 7 7 3 2" xfId="19303"/>
    <cellStyle name="표준 2 4 7 7 4" xfId="16865"/>
    <cellStyle name="표준 2 4 7 8" xfId="5722"/>
    <cellStyle name="표준 2 4 7 8 2" xfId="10599"/>
    <cellStyle name="표준 2 4 7 8 2 2" xfId="21847"/>
    <cellStyle name="표준 2 4 7 8 3" xfId="8161"/>
    <cellStyle name="표준 2 4 7 8 3 2" xfId="19409"/>
    <cellStyle name="표준 2 4 7 8 4" xfId="16971"/>
    <cellStyle name="표준 2 4 7 9" xfId="5805"/>
    <cellStyle name="표준 2 4 7 9 2" xfId="10682"/>
    <cellStyle name="표준 2 4 7 9 2 2" xfId="21930"/>
    <cellStyle name="표준 2 4 7 9 3" xfId="8244"/>
    <cellStyle name="표준 2 4 7 9 3 2" xfId="19492"/>
    <cellStyle name="표준 2 4 7 9 4" xfId="17054"/>
    <cellStyle name="표준 2 4 8" xfId="208"/>
    <cellStyle name="표준 2 4 8 10" xfId="3639"/>
    <cellStyle name="표준 2 4 8 10 2" xfId="8538"/>
    <cellStyle name="표준 2 4 8 10 2 2" xfId="19786"/>
    <cellStyle name="표준 2 4 8 10 3" xfId="6100"/>
    <cellStyle name="표준 2 4 8 10 3 2" xfId="17348"/>
    <cellStyle name="표준 2 4 8 10 4" xfId="14910"/>
    <cellStyle name="표준 2 4 8 11" xfId="8359"/>
    <cellStyle name="표준 2 4 8 11 2" xfId="19607"/>
    <cellStyle name="표준 2 4 8 12" xfId="5921"/>
    <cellStyle name="표준 2 4 8 12 2" xfId="17169"/>
    <cellStyle name="표준 2 4 8 13" xfId="10805"/>
    <cellStyle name="표준 2 4 8 13 2" xfId="22053"/>
    <cellStyle name="표준 2 4 8 14" xfId="3459"/>
    <cellStyle name="표준 2 4 8 14 2" xfId="14731"/>
    <cellStyle name="표준 2 4 8 15" xfId="1880"/>
    <cellStyle name="표준 2 4 8 15 2" xfId="13307"/>
    <cellStyle name="표준 2 4 8 16" xfId="11847"/>
    <cellStyle name="표준 2 4 8 2" xfId="492"/>
    <cellStyle name="표준 2 4 8 2 10" xfId="2164"/>
    <cellStyle name="표준 2 4 8 2 10 2" xfId="13591"/>
    <cellStyle name="표준 2 4 8 2 11" xfId="12131"/>
    <cellStyle name="표준 2 4 8 2 2" xfId="1760"/>
    <cellStyle name="표준 2 4 8 2 2 2" xfId="4477"/>
    <cellStyle name="표준 2 4 8 2 2 2 2" xfId="5469"/>
    <cellStyle name="표준 2 4 8 2 2 2 2 2" xfId="10346"/>
    <cellStyle name="표준 2 4 8 2 2 2 2 2 2" xfId="21594"/>
    <cellStyle name="표준 2 4 8 2 2 2 2 3" xfId="7908"/>
    <cellStyle name="표준 2 4 8 2 2 2 2 3 2" xfId="19156"/>
    <cellStyle name="표준 2 4 8 2 2 2 2 4" xfId="16718"/>
    <cellStyle name="표준 2 4 8 2 2 2 3" xfId="9356"/>
    <cellStyle name="표준 2 4 8 2 2 2 3 2" xfId="20604"/>
    <cellStyle name="표준 2 4 8 2 2 2 4" xfId="6918"/>
    <cellStyle name="표준 2 4 8 2 2 2 4 2" xfId="18166"/>
    <cellStyle name="표준 2 4 8 2 2 2 5" xfId="15728"/>
    <cellStyle name="표준 2 4 8 2 2 3" xfId="5016"/>
    <cellStyle name="표준 2 4 8 2 2 3 2" xfId="9893"/>
    <cellStyle name="표준 2 4 8 2 2 3 2 2" xfId="21141"/>
    <cellStyle name="표준 2 4 8 2 2 3 3" xfId="7455"/>
    <cellStyle name="표준 2 4 8 2 2 3 3 2" xfId="18703"/>
    <cellStyle name="표준 2 4 8 2 2 3 4" xfId="16265"/>
    <cellStyle name="표준 2 4 8 2 2 4" xfId="8903"/>
    <cellStyle name="표준 2 4 8 2 2 4 2" xfId="20151"/>
    <cellStyle name="표준 2 4 8 2 2 5" xfId="6465"/>
    <cellStyle name="표준 2 4 8 2 2 5 2" xfId="17713"/>
    <cellStyle name="표준 2 4 8 2 2 6" xfId="11073"/>
    <cellStyle name="표준 2 4 8 2 2 6 2" xfId="22320"/>
    <cellStyle name="표준 2 4 8 2 2 7" xfId="4024"/>
    <cellStyle name="표준 2 4 8 2 2 7 2" xfId="15275"/>
    <cellStyle name="표준 2 4 8 2 2 8" xfId="3372"/>
    <cellStyle name="표준 2 4 8 2 2 8 2" xfId="14650"/>
    <cellStyle name="표준 2 4 8 2 2 9" xfId="13190"/>
    <cellStyle name="표준 2 4 8 2 3" xfId="1379"/>
    <cellStyle name="표준 2 4 8 2 3 2" xfId="5242"/>
    <cellStyle name="표준 2 4 8 2 3 2 2" xfId="10119"/>
    <cellStyle name="표준 2 4 8 2 3 2 2 2" xfId="21367"/>
    <cellStyle name="표준 2 4 8 2 3 2 3" xfId="7681"/>
    <cellStyle name="표준 2 4 8 2 3 2 3 2" xfId="18929"/>
    <cellStyle name="표준 2 4 8 2 3 2 4" xfId="16491"/>
    <cellStyle name="표준 2 4 8 2 3 3" xfId="9129"/>
    <cellStyle name="표준 2 4 8 2 3 3 2" xfId="20377"/>
    <cellStyle name="표준 2 4 8 2 3 4" xfId="6691"/>
    <cellStyle name="표준 2 4 8 2 3 4 2" xfId="17939"/>
    <cellStyle name="표준 2 4 8 2 3 5" xfId="4250"/>
    <cellStyle name="표준 2 4 8 2 3 5 2" xfId="15501"/>
    <cellStyle name="표준 2 4 8 2 3 6" xfId="3000"/>
    <cellStyle name="표준 2 4 8 2 3 6 2" xfId="14278"/>
    <cellStyle name="표준 2 4 8 2 3 7" xfId="12818"/>
    <cellStyle name="표준 2 4 8 2 4" xfId="4790"/>
    <cellStyle name="표준 2 4 8 2 4 2" xfId="9667"/>
    <cellStyle name="표준 2 4 8 2 4 2 2" xfId="20915"/>
    <cellStyle name="표준 2 4 8 2 4 3" xfId="7229"/>
    <cellStyle name="표준 2 4 8 2 4 3 2" xfId="18477"/>
    <cellStyle name="표준 2 4 8 2 4 4" xfId="16039"/>
    <cellStyle name="표준 2 4 8 2 5" xfId="3798"/>
    <cellStyle name="표준 2 4 8 2 5 2" xfId="8677"/>
    <cellStyle name="표준 2 4 8 2 5 2 2" xfId="19925"/>
    <cellStyle name="표준 2 4 8 2 5 3" xfId="6239"/>
    <cellStyle name="표준 2 4 8 2 5 3 2" xfId="17487"/>
    <cellStyle name="표준 2 4 8 2 5 4" xfId="15049"/>
    <cellStyle name="표준 2 4 8 2 6" xfId="8442"/>
    <cellStyle name="표준 2 4 8 2 6 2" xfId="19690"/>
    <cellStyle name="표준 2 4 8 2 7" xfId="6004"/>
    <cellStyle name="표준 2 4 8 2 7 2" xfId="17252"/>
    <cellStyle name="표준 2 4 8 2 8" xfId="10888"/>
    <cellStyle name="표준 2 4 8 2 8 2" xfId="22136"/>
    <cellStyle name="표준 2 4 8 2 9" xfId="3542"/>
    <cellStyle name="표준 2 4 8 2 9 2" xfId="14814"/>
    <cellStyle name="표준 2 4 8 3" xfId="825"/>
    <cellStyle name="표준 2 4 8 3 2" xfId="1471"/>
    <cellStyle name="표준 2 4 8 3 2 2" xfId="5383"/>
    <cellStyle name="표준 2 4 8 3 2 2 2" xfId="10260"/>
    <cellStyle name="표준 2 4 8 3 2 2 2 2" xfId="21508"/>
    <cellStyle name="표준 2 4 8 3 2 2 3" xfId="7822"/>
    <cellStyle name="표준 2 4 8 3 2 2 3 2" xfId="19070"/>
    <cellStyle name="표준 2 4 8 3 2 2 4" xfId="16632"/>
    <cellStyle name="표준 2 4 8 3 2 3" xfId="9270"/>
    <cellStyle name="표준 2 4 8 3 2 3 2" xfId="20518"/>
    <cellStyle name="표준 2 4 8 3 2 4" xfId="6832"/>
    <cellStyle name="표준 2 4 8 3 2 4 2" xfId="18080"/>
    <cellStyle name="표준 2 4 8 3 2 5" xfId="4391"/>
    <cellStyle name="표준 2 4 8 3 2 5 2" xfId="15642"/>
    <cellStyle name="표준 2 4 8 3 2 6" xfId="3083"/>
    <cellStyle name="표준 2 4 8 3 2 6 2" xfId="14361"/>
    <cellStyle name="표준 2 4 8 3 2 7" xfId="12901"/>
    <cellStyle name="표준 2 4 8 3 3" xfId="4930"/>
    <cellStyle name="표준 2 4 8 3 3 2" xfId="9807"/>
    <cellStyle name="표준 2 4 8 3 3 2 2" xfId="21055"/>
    <cellStyle name="표준 2 4 8 3 3 3" xfId="7369"/>
    <cellStyle name="표준 2 4 8 3 3 3 2" xfId="18617"/>
    <cellStyle name="표준 2 4 8 3 3 4" xfId="16179"/>
    <cellStyle name="표준 2 4 8 3 4" xfId="8817"/>
    <cellStyle name="표준 2 4 8 3 4 2" xfId="20065"/>
    <cellStyle name="표준 2 4 8 3 5" xfId="6379"/>
    <cellStyle name="표준 2 4 8 3 5 2" xfId="17627"/>
    <cellStyle name="표준 2 4 8 3 6" xfId="10990"/>
    <cellStyle name="표준 2 4 8 3 6 2" xfId="22237"/>
    <cellStyle name="표준 2 4 8 3 7" xfId="3938"/>
    <cellStyle name="표준 2 4 8 3 7 2" xfId="15189"/>
    <cellStyle name="표준 2 4 8 3 8" xfId="2449"/>
    <cellStyle name="표준 2 4 8 3 8 2" xfId="13838"/>
    <cellStyle name="표준 2 4 8 3 9" xfId="12378"/>
    <cellStyle name="표준 2 4 8 4" xfId="1195"/>
    <cellStyle name="표준 2 4 8 4 2" xfId="5156"/>
    <cellStyle name="표준 2 4 8 4 2 2" xfId="10033"/>
    <cellStyle name="표준 2 4 8 4 2 2 2" xfId="21281"/>
    <cellStyle name="표준 2 4 8 4 2 3" xfId="7595"/>
    <cellStyle name="표준 2 4 8 4 2 3 2" xfId="18843"/>
    <cellStyle name="표준 2 4 8 4 2 4" xfId="16405"/>
    <cellStyle name="표준 2 4 8 4 3" xfId="9043"/>
    <cellStyle name="표준 2 4 8 4 3 2" xfId="20291"/>
    <cellStyle name="표준 2 4 8 4 4" xfId="6605"/>
    <cellStyle name="표준 2 4 8 4 4 2" xfId="17853"/>
    <cellStyle name="표준 2 4 8 4 5" xfId="4164"/>
    <cellStyle name="표준 2 4 8 4 5 2" xfId="15415"/>
    <cellStyle name="표준 2 4 8 4 6" xfId="2816"/>
    <cellStyle name="표준 2 4 8 4 6 2" xfId="14094"/>
    <cellStyle name="표준 2 4 8 4 7" xfId="12634"/>
    <cellStyle name="표준 2 4 8 5" xfId="4573"/>
    <cellStyle name="표준 2 4 8 5 2" xfId="5563"/>
    <cellStyle name="표준 2 4 8 5 2 2" xfId="10440"/>
    <cellStyle name="표준 2 4 8 5 2 2 2" xfId="21688"/>
    <cellStyle name="표준 2 4 8 5 2 3" xfId="8002"/>
    <cellStyle name="표준 2 4 8 5 2 3 2" xfId="19250"/>
    <cellStyle name="표준 2 4 8 5 2 4" xfId="16812"/>
    <cellStyle name="표준 2 4 8 5 3" xfId="9450"/>
    <cellStyle name="표준 2 4 8 5 3 2" xfId="20698"/>
    <cellStyle name="표준 2 4 8 5 4" xfId="7012"/>
    <cellStyle name="표준 2 4 8 5 4 2" xfId="18260"/>
    <cellStyle name="표준 2 4 8 5 5" xfId="15822"/>
    <cellStyle name="표준 2 4 8 6" xfId="4704"/>
    <cellStyle name="표준 2 4 8 6 2" xfId="9581"/>
    <cellStyle name="표준 2 4 8 6 2 2" xfId="20829"/>
    <cellStyle name="표준 2 4 8 6 3" xfId="7143"/>
    <cellStyle name="표준 2 4 8 6 3 2" xfId="18391"/>
    <cellStyle name="표준 2 4 8 6 4" xfId="15953"/>
    <cellStyle name="표준 2 4 8 7" xfId="5647"/>
    <cellStyle name="표준 2 4 8 7 2" xfId="10524"/>
    <cellStyle name="표준 2 4 8 7 2 2" xfId="21772"/>
    <cellStyle name="표준 2 4 8 7 3" xfId="8086"/>
    <cellStyle name="표준 2 4 8 7 3 2" xfId="19334"/>
    <cellStyle name="표준 2 4 8 7 4" xfId="16896"/>
    <cellStyle name="표준 2 4 8 8" xfId="5753"/>
    <cellStyle name="표준 2 4 8 8 2" xfId="10630"/>
    <cellStyle name="표준 2 4 8 8 2 2" xfId="21878"/>
    <cellStyle name="표준 2 4 8 8 3" xfId="8192"/>
    <cellStyle name="표준 2 4 8 8 3 2" xfId="19440"/>
    <cellStyle name="표준 2 4 8 8 4" xfId="17002"/>
    <cellStyle name="표준 2 4 8 9" xfId="5836"/>
    <cellStyle name="표준 2 4 8 9 2" xfId="10713"/>
    <cellStyle name="표준 2 4 8 9 2 2" xfId="21961"/>
    <cellStyle name="표준 2 4 8 9 3" xfId="8275"/>
    <cellStyle name="표준 2 4 8 9 3 2" xfId="19523"/>
    <cellStyle name="표준 2 4 8 9 4" xfId="17085"/>
    <cellStyle name="표준 2 4 9" xfId="382"/>
    <cellStyle name="표준 2 4 9 10" xfId="2054"/>
    <cellStyle name="표준 2 4 9 10 2" xfId="13481"/>
    <cellStyle name="표준 2 4 9 11" xfId="12021"/>
    <cellStyle name="표준 2 4 9 2" xfId="727"/>
    <cellStyle name="표준 2 4 9 2 2" xfId="1480"/>
    <cellStyle name="표준 2 4 9 2 2 2" xfId="5307"/>
    <cellStyle name="표준 2 4 9 2 2 2 2" xfId="10184"/>
    <cellStyle name="표준 2 4 9 2 2 2 2 2" xfId="21432"/>
    <cellStyle name="표준 2 4 9 2 2 2 3" xfId="7746"/>
    <cellStyle name="표준 2 4 9 2 2 2 3 2" xfId="18994"/>
    <cellStyle name="표준 2 4 9 2 2 2 4" xfId="16556"/>
    <cellStyle name="표준 2 4 9 2 2 3" xfId="9194"/>
    <cellStyle name="표준 2 4 9 2 2 3 2" xfId="20442"/>
    <cellStyle name="표준 2 4 9 2 2 4" xfId="6756"/>
    <cellStyle name="표준 2 4 9 2 2 4 2" xfId="18004"/>
    <cellStyle name="표준 2 4 9 2 2 5" xfId="4315"/>
    <cellStyle name="표준 2 4 9 2 2 5 2" xfId="15566"/>
    <cellStyle name="표준 2 4 9 2 2 6" xfId="3092"/>
    <cellStyle name="표준 2 4 9 2 2 6 2" xfId="14370"/>
    <cellStyle name="표준 2 4 9 2 2 7" xfId="12910"/>
    <cellStyle name="표준 2 4 9 2 3" xfId="4854"/>
    <cellStyle name="표준 2 4 9 2 3 2" xfId="9731"/>
    <cellStyle name="표준 2 4 9 2 3 2 2" xfId="20979"/>
    <cellStyle name="표준 2 4 9 2 3 3" xfId="7293"/>
    <cellStyle name="표준 2 4 9 2 3 3 2" xfId="18541"/>
    <cellStyle name="표준 2 4 9 2 3 4" xfId="16103"/>
    <cellStyle name="표준 2 4 9 2 4" xfId="8741"/>
    <cellStyle name="표준 2 4 9 2 4 2" xfId="19989"/>
    <cellStyle name="표준 2 4 9 2 5" xfId="6303"/>
    <cellStyle name="표준 2 4 9 2 5 2" xfId="17551"/>
    <cellStyle name="표준 2 4 9 2 6" xfId="10997"/>
    <cellStyle name="표준 2 4 9 2 6 2" xfId="22244"/>
    <cellStyle name="표준 2 4 9 2 7" xfId="3862"/>
    <cellStyle name="표준 2 4 9 2 7 2" xfId="15113"/>
    <cellStyle name="표준 2 4 9 2 8" xfId="2359"/>
    <cellStyle name="표준 2 4 9 2 8 2" xfId="13762"/>
    <cellStyle name="표준 2 4 9 2 9" xfId="12302"/>
    <cellStyle name="표준 2 4 9 3" xfId="1085"/>
    <cellStyle name="표준 2 4 9 3 2" xfId="5080"/>
    <cellStyle name="표준 2 4 9 3 2 2" xfId="9957"/>
    <cellStyle name="표준 2 4 9 3 2 2 2" xfId="21205"/>
    <cellStyle name="표준 2 4 9 3 2 3" xfId="7519"/>
    <cellStyle name="표준 2 4 9 3 2 3 2" xfId="18767"/>
    <cellStyle name="표준 2 4 9 3 2 4" xfId="16329"/>
    <cellStyle name="표준 2 4 9 3 3" xfId="8967"/>
    <cellStyle name="표준 2 4 9 3 3 2" xfId="20215"/>
    <cellStyle name="표준 2 4 9 3 4" xfId="6529"/>
    <cellStyle name="표준 2 4 9 3 4 2" xfId="17777"/>
    <cellStyle name="표준 2 4 9 3 5" xfId="4088"/>
    <cellStyle name="표준 2 4 9 3 5 2" xfId="15339"/>
    <cellStyle name="표준 2 4 9 3 6" xfId="2706"/>
    <cellStyle name="표준 2 4 9 3 6 2" xfId="13984"/>
    <cellStyle name="표준 2 4 9 3 7" xfId="12524"/>
    <cellStyle name="표준 2 4 9 4" xfId="4628"/>
    <cellStyle name="표준 2 4 9 4 2" xfId="9505"/>
    <cellStyle name="표준 2 4 9 4 2 2" xfId="20753"/>
    <cellStyle name="표준 2 4 9 4 3" xfId="7067"/>
    <cellStyle name="표준 2 4 9 4 3 2" xfId="18315"/>
    <cellStyle name="표준 2 4 9 4 4" xfId="15877"/>
    <cellStyle name="표준 2 4 9 5" xfId="3563"/>
    <cellStyle name="표준 2 4 9 5 2" xfId="8462"/>
    <cellStyle name="표준 2 4 9 5 2 2" xfId="19710"/>
    <cellStyle name="표준 2 4 9 5 3" xfId="6024"/>
    <cellStyle name="표준 2 4 9 5 3 2" xfId="17272"/>
    <cellStyle name="표준 2 4 9 5 4" xfId="14834"/>
    <cellStyle name="표준 2 4 9 6" xfId="8366"/>
    <cellStyle name="표준 2 4 9 6 2" xfId="19614"/>
    <cellStyle name="표준 2 4 9 7" xfId="5928"/>
    <cellStyle name="표준 2 4 9 7 2" xfId="17176"/>
    <cellStyle name="표준 2 4 9 8" xfId="10812"/>
    <cellStyle name="표준 2 4 9 8 2" xfId="22060"/>
    <cellStyle name="표준 2 4 9 9" xfId="3466"/>
    <cellStyle name="표준 2 4 9 9 2" xfId="14738"/>
    <cellStyle name="표준 2 5" xfId="51"/>
    <cellStyle name="표준 2 5 10" xfId="317"/>
    <cellStyle name="표준 2 5 10 10" xfId="1989"/>
    <cellStyle name="표준 2 5 10 10 2" xfId="13416"/>
    <cellStyle name="표준 2 5 10 11" xfId="11956"/>
    <cellStyle name="표준 2 5 10 2" xfId="1687"/>
    <cellStyle name="표준 2 5 10 2 2" xfId="4398"/>
    <cellStyle name="표준 2 5 10 2 2 2" xfId="5390"/>
    <cellStyle name="표준 2 5 10 2 2 2 2" xfId="10267"/>
    <cellStyle name="표준 2 5 10 2 2 2 2 2" xfId="21515"/>
    <cellStyle name="표준 2 5 10 2 2 2 3" xfId="7829"/>
    <cellStyle name="표준 2 5 10 2 2 2 3 2" xfId="19077"/>
    <cellStyle name="표준 2 5 10 2 2 2 4" xfId="16639"/>
    <cellStyle name="표준 2 5 10 2 2 3" xfId="9277"/>
    <cellStyle name="표준 2 5 10 2 2 3 2" xfId="20525"/>
    <cellStyle name="표준 2 5 10 2 2 4" xfId="6839"/>
    <cellStyle name="표준 2 5 10 2 2 4 2" xfId="18087"/>
    <cellStyle name="표준 2 5 10 2 2 5" xfId="15649"/>
    <cellStyle name="표준 2 5 10 2 3" xfId="4937"/>
    <cellStyle name="표준 2 5 10 2 3 2" xfId="9814"/>
    <cellStyle name="표준 2 5 10 2 3 2 2" xfId="21062"/>
    <cellStyle name="표준 2 5 10 2 3 3" xfId="7376"/>
    <cellStyle name="표준 2 5 10 2 3 3 2" xfId="18624"/>
    <cellStyle name="표준 2 5 10 2 3 4" xfId="16186"/>
    <cellStyle name="표준 2 5 10 2 4" xfId="8824"/>
    <cellStyle name="표준 2 5 10 2 4 2" xfId="20072"/>
    <cellStyle name="표준 2 5 10 2 5" xfId="6386"/>
    <cellStyle name="표준 2 5 10 2 5 2" xfId="17634"/>
    <cellStyle name="표준 2 5 10 2 6" xfId="11082"/>
    <cellStyle name="표준 2 5 10 2 6 2" xfId="22329"/>
    <cellStyle name="표준 2 5 10 2 7" xfId="3945"/>
    <cellStyle name="표준 2 5 10 2 7 2" xfId="15196"/>
    <cellStyle name="표준 2 5 10 2 8" xfId="3299"/>
    <cellStyle name="표준 2 5 10 2 8 2" xfId="14577"/>
    <cellStyle name="표준 2 5 10 2 9" xfId="13117"/>
    <cellStyle name="표준 2 5 10 3" xfId="1302"/>
    <cellStyle name="표준 2 5 10 3 2" xfId="5163"/>
    <cellStyle name="표준 2 5 10 3 2 2" xfId="10040"/>
    <cellStyle name="표준 2 5 10 3 2 2 2" xfId="21288"/>
    <cellStyle name="표준 2 5 10 3 2 3" xfId="7602"/>
    <cellStyle name="표준 2 5 10 3 2 3 2" xfId="18850"/>
    <cellStyle name="표준 2 5 10 3 2 4" xfId="16412"/>
    <cellStyle name="표준 2 5 10 3 3" xfId="9050"/>
    <cellStyle name="표준 2 5 10 3 3 2" xfId="20298"/>
    <cellStyle name="표준 2 5 10 3 4" xfId="6612"/>
    <cellStyle name="표준 2 5 10 3 4 2" xfId="17860"/>
    <cellStyle name="표준 2 5 10 3 5" xfId="4171"/>
    <cellStyle name="표준 2 5 10 3 5 2" xfId="15422"/>
    <cellStyle name="표준 2 5 10 3 6" xfId="2923"/>
    <cellStyle name="표준 2 5 10 3 6 2" xfId="14201"/>
    <cellStyle name="표준 2 5 10 3 7" xfId="12741"/>
    <cellStyle name="표준 2 5 10 4" xfId="4711"/>
    <cellStyle name="표준 2 5 10 4 2" xfId="9588"/>
    <cellStyle name="표준 2 5 10 4 2 2" xfId="20836"/>
    <cellStyle name="표준 2 5 10 4 3" xfId="7150"/>
    <cellStyle name="표준 2 5 10 4 3 2" xfId="18398"/>
    <cellStyle name="표준 2 5 10 4 4" xfId="15960"/>
    <cellStyle name="표준 2 5 10 5" xfId="3719"/>
    <cellStyle name="표준 2 5 10 5 2" xfId="8598"/>
    <cellStyle name="표준 2 5 10 5 2 2" xfId="19846"/>
    <cellStyle name="표준 2 5 10 5 3" xfId="6160"/>
    <cellStyle name="표준 2 5 10 5 3 2" xfId="17408"/>
    <cellStyle name="표준 2 5 10 5 4" xfId="14970"/>
    <cellStyle name="표준 2 5 10 6" xfId="8451"/>
    <cellStyle name="표준 2 5 10 6 2" xfId="19699"/>
    <cellStyle name="표준 2 5 10 7" xfId="6013"/>
    <cellStyle name="표준 2 5 10 7 2" xfId="17261"/>
    <cellStyle name="표준 2 5 10 8" xfId="10897"/>
    <cellStyle name="표준 2 5 10 8 2" xfId="22145"/>
    <cellStyle name="표준 2 5 10 9" xfId="3552"/>
    <cellStyle name="표준 2 5 10 9 2" xfId="14823"/>
    <cellStyle name="표준 2 5 11" xfId="610"/>
    <cellStyle name="표준 2 5 11 2" xfId="1391"/>
    <cellStyle name="표준 2 5 11 2 2" xfId="5262"/>
    <cellStyle name="표준 2 5 11 2 2 2" xfId="10139"/>
    <cellStyle name="표준 2 5 11 2 2 2 2" xfId="21387"/>
    <cellStyle name="표준 2 5 11 2 2 3" xfId="7701"/>
    <cellStyle name="표준 2 5 11 2 2 3 2" xfId="18949"/>
    <cellStyle name="표준 2 5 11 2 2 4" xfId="16511"/>
    <cellStyle name="표준 2 5 11 2 3" xfId="9149"/>
    <cellStyle name="표준 2 5 11 2 3 2" xfId="20397"/>
    <cellStyle name="표준 2 5 11 2 4" xfId="6711"/>
    <cellStyle name="표준 2 5 11 2 4 2" xfId="17959"/>
    <cellStyle name="표준 2 5 11 2 5" xfId="10913"/>
    <cellStyle name="표준 2 5 11 2 5 2" xfId="22160"/>
    <cellStyle name="표준 2 5 11 2 6" xfId="4270"/>
    <cellStyle name="표준 2 5 11 2 6 2" xfId="15521"/>
    <cellStyle name="표준 2 5 11 2 7" xfId="3006"/>
    <cellStyle name="표준 2 5 11 2 7 2" xfId="14284"/>
    <cellStyle name="표준 2 5 11 2 8" xfId="12824"/>
    <cellStyle name="표준 2 5 11 3" xfId="4809"/>
    <cellStyle name="표준 2 5 11 3 2" xfId="9686"/>
    <cellStyle name="표준 2 5 11 3 2 2" xfId="20934"/>
    <cellStyle name="표준 2 5 11 3 3" xfId="7248"/>
    <cellStyle name="표준 2 5 11 3 3 2" xfId="18496"/>
    <cellStyle name="표준 2 5 11 3 4" xfId="16058"/>
    <cellStyle name="표준 2 5 11 4" xfId="8696"/>
    <cellStyle name="표준 2 5 11 4 2" xfId="19944"/>
    <cellStyle name="표준 2 5 11 5" xfId="6258"/>
    <cellStyle name="표준 2 5 11 5 2" xfId="17506"/>
    <cellStyle name="표준 2 5 11 6" xfId="10728"/>
    <cellStyle name="표준 2 5 11 6 2" xfId="21976"/>
    <cellStyle name="표준 2 5 11 7" xfId="3817"/>
    <cellStyle name="표준 2 5 11 7 2" xfId="15068"/>
    <cellStyle name="표준 2 5 11 8" xfId="2282"/>
    <cellStyle name="표준 2 5 11 8 2" xfId="13701"/>
    <cellStyle name="표준 2 5 11 9" xfId="12241"/>
    <cellStyle name="표준 2 5 12" xfId="1020"/>
    <cellStyle name="표준 2 5 12 2" xfId="5035"/>
    <cellStyle name="표준 2 5 12 2 2" xfId="9912"/>
    <cellStyle name="표준 2 5 12 2 2 2" xfId="21160"/>
    <cellStyle name="표준 2 5 12 2 3" xfId="7474"/>
    <cellStyle name="표준 2 5 12 2 3 2" xfId="18722"/>
    <cellStyle name="표준 2 5 12 2 4" xfId="16284"/>
    <cellStyle name="표준 2 5 12 3" xfId="8922"/>
    <cellStyle name="표준 2 5 12 3 2" xfId="20170"/>
    <cellStyle name="표준 2 5 12 4" xfId="6484"/>
    <cellStyle name="표준 2 5 12 4 2" xfId="17732"/>
    <cellStyle name="표준 2 5 12 5" xfId="10908"/>
    <cellStyle name="표준 2 5 12 5 2" xfId="22155"/>
    <cellStyle name="표준 2 5 12 6" xfId="4043"/>
    <cellStyle name="표준 2 5 12 6 2" xfId="15294"/>
    <cellStyle name="표준 2 5 12 7" xfId="2641"/>
    <cellStyle name="표준 2 5 12 7 2" xfId="13919"/>
    <cellStyle name="표준 2 5 12 8" xfId="12459"/>
    <cellStyle name="표준 2 5 13" xfId="951"/>
    <cellStyle name="표준 2 5 13 2" xfId="5486"/>
    <cellStyle name="표준 2 5 13 2 2" xfId="10363"/>
    <cellStyle name="표준 2 5 13 2 2 2" xfId="21611"/>
    <cellStyle name="표준 2 5 13 2 3" xfId="7925"/>
    <cellStyle name="표준 2 5 13 2 3 2" xfId="19173"/>
    <cellStyle name="표준 2 5 13 2 4" xfId="16735"/>
    <cellStyle name="표준 2 5 13 3" xfId="9373"/>
    <cellStyle name="표준 2 5 13 3 2" xfId="20621"/>
    <cellStyle name="표준 2 5 13 4" xfId="6935"/>
    <cellStyle name="표준 2 5 13 4 2" xfId="18183"/>
    <cellStyle name="표준 2 5 13 5" xfId="4496"/>
    <cellStyle name="표준 2 5 13 5 2" xfId="15745"/>
    <cellStyle name="표준 2 5 13 6" xfId="2573"/>
    <cellStyle name="표준 2 5 13 6 2" xfId="13851"/>
    <cellStyle name="표준 2 5 13 7" xfId="12391"/>
    <cellStyle name="표준 2 5 14" xfId="4583"/>
    <cellStyle name="표준 2 5 14 2" xfId="9460"/>
    <cellStyle name="표준 2 5 14 2 2" xfId="20708"/>
    <cellStyle name="표준 2 5 14 3" xfId="7022"/>
    <cellStyle name="표준 2 5 14 3 2" xfId="18270"/>
    <cellStyle name="표준 2 5 14 4" xfId="15832"/>
    <cellStyle name="표준 2 5 15" xfId="5570"/>
    <cellStyle name="표준 2 5 15 2" xfId="10447"/>
    <cellStyle name="표준 2 5 15 2 2" xfId="21695"/>
    <cellStyle name="표준 2 5 15 3" xfId="8009"/>
    <cellStyle name="표준 2 5 15 3 2" xfId="19257"/>
    <cellStyle name="표준 2 5 15 4" xfId="16819"/>
    <cellStyle name="표준 2 5 16" xfId="5658"/>
    <cellStyle name="표준 2 5 16 2" xfId="10535"/>
    <cellStyle name="표준 2 5 16 2 2" xfId="21783"/>
    <cellStyle name="표준 2 5 16 3" xfId="8097"/>
    <cellStyle name="표준 2 5 16 3 2" xfId="19345"/>
    <cellStyle name="표준 2 5 16 4" xfId="16907"/>
    <cellStyle name="표준 2 5 17" xfId="5676"/>
    <cellStyle name="표준 2 5 17 2" xfId="10553"/>
    <cellStyle name="표준 2 5 17 2 2" xfId="21801"/>
    <cellStyle name="표준 2 5 17 3" xfId="8115"/>
    <cellStyle name="표준 2 5 17 3 2" xfId="19363"/>
    <cellStyle name="표준 2 5 17 4" xfId="16925"/>
    <cellStyle name="표준 2 5 18" xfId="5759"/>
    <cellStyle name="표준 2 5 18 2" xfId="10636"/>
    <cellStyle name="표준 2 5 18 2 2" xfId="21884"/>
    <cellStyle name="표준 2 5 18 3" xfId="8198"/>
    <cellStyle name="표준 2 5 18 3 2" xfId="19446"/>
    <cellStyle name="표준 2 5 18 4" xfId="17008"/>
    <cellStyle name="표준 2 5 19" xfId="3562"/>
    <cellStyle name="표준 2 5 19 2" xfId="8461"/>
    <cellStyle name="표준 2 5 19 2 2" xfId="19709"/>
    <cellStyle name="표준 2 5 19 3" xfId="6023"/>
    <cellStyle name="표준 2 5 19 3 2" xfId="17271"/>
    <cellStyle name="표준 2 5 19 4" xfId="14833"/>
    <cellStyle name="표준 2 5 2" xfId="56"/>
    <cellStyle name="표준 2 5 2 10" xfId="5666"/>
    <cellStyle name="표준 2 5 2 10 2" xfId="10543"/>
    <cellStyle name="표준 2 5 2 10 2 2" xfId="21791"/>
    <cellStyle name="표준 2 5 2 10 3" xfId="8105"/>
    <cellStyle name="표준 2 5 2 10 3 2" xfId="19353"/>
    <cellStyle name="표준 2 5 2 10 4" xfId="16915"/>
    <cellStyle name="표준 2 5 2 11" xfId="5732"/>
    <cellStyle name="표준 2 5 2 11 2" xfId="10609"/>
    <cellStyle name="표준 2 5 2 11 2 2" xfId="21857"/>
    <cellStyle name="표준 2 5 2 11 3" xfId="8171"/>
    <cellStyle name="표준 2 5 2 11 3 2" xfId="19419"/>
    <cellStyle name="표준 2 5 2 11 4" xfId="16981"/>
    <cellStyle name="표준 2 5 2 12" xfId="5815"/>
    <cellStyle name="표준 2 5 2 12 2" xfId="10692"/>
    <cellStyle name="표준 2 5 2 12 2 2" xfId="21940"/>
    <cellStyle name="표준 2 5 2 12 3" xfId="8254"/>
    <cellStyle name="표준 2 5 2 12 3 2" xfId="19502"/>
    <cellStyle name="표준 2 5 2 12 4" xfId="17064"/>
    <cellStyle name="표준 2 5 2 13" xfId="3618"/>
    <cellStyle name="표준 2 5 2 13 2" xfId="8517"/>
    <cellStyle name="표준 2 5 2 13 2 2" xfId="19765"/>
    <cellStyle name="표준 2 5 2 13 3" xfId="6079"/>
    <cellStyle name="표준 2 5 2 13 3 2" xfId="17327"/>
    <cellStyle name="표준 2 5 2 13 4" xfId="14889"/>
    <cellStyle name="표준 2 5 2 14" xfId="8338"/>
    <cellStyle name="표준 2 5 2 14 2" xfId="19586"/>
    <cellStyle name="표준 2 5 2 15" xfId="5900"/>
    <cellStyle name="표준 2 5 2 15 2" xfId="17148"/>
    <cellStyle name="표준 2 5 2 16" xfId="10784"/>
    <cellStyle name="표준 2 5 2 16 2" xfId="22032"/>
    <cellStyle name="표준 2 5 2 17" xfId="3432"/>
    <cellStyle name="표준 2 5 2 17 2" xfId="14710"/>
    <cellStyle name="표준 2 5 2 18" xfId="1772"/>
    <cellStyle name="표준 2 5 2 18 2" xfId="13201"/>
    <cellStyle name="표준 2 5 2 19" xfId="11741"/>
    <cellStyle name="표준 2 5 2 2" xfId="75"/>
    <cellStyle name="표준 2 5 2 2 10" xfId="5816"/>
    <cellStyle name="표준 2 5 2 2 10 2" xfId="10693"/>
    <cellStyle name="표준 2 5 2 2 10 2 2" xfId="21941"/>
    <cellStyle name="표준 2 5 2 2 10 3" xfId="8255"/>
    <cellStyle name="표준 2 5 2 2 10 3 2" xfId="19503"/>
    <cellStyle name="표준 2 5 2 2 10 4" xfId="17065"/>
    <cellStyle name="표준 2 5 2 2 11" xfId="3619"/>
    <cellStyle name="표준 2 5 2 2 11 2" xfId="8518"/>
    <cellStyle name="표준 2 5 2 2 11 2 2" xfId="19766"/>
    <cellStyle name="표준 2 5 2 2 11 3" xfId="6080"/>
    <cellStyle name="표준 2 5 2 2 11 3 2" xfId="17328"/>
    <cellStyle name="표준 2 5 2 2 11 4" xfId="14890"/>
    <cellStyle name="표준 2 5 2 2 12" xfId="8339"/>
    <cellStyle name="표준 2 5 2 2 12 2" xfId="19587"/>
    <cellStyle name="표준 2 5 2 2 13" xfId="5901"/>
    <cellStyle name="표준 2 5 2 2 13 2" xfId="17149"/>
    <cellStyle name="표준 2 5 2 2 14" xfId="10785"/>
    <cellStyle name="표준 2 5 2 2 14 2" xfId="22033"/>
    <cellStyle name="표준 2 5 2 2 15" xfId="3433"/>
    <cellStyle name="표준 2 5 2 2 15 2" xfId="14711"/>
    <cellStyle name="표준 2 5 2 2 16" xfId="1791"/>
    <cellStyle name="표준 2 5 2 2 16 2" xfId="13220"/>
    <cellStyle name="표준 2 5 2 2 17" xfId="11760"/>
    <cellStyle name="표준 2 5 2 2 2" xfId="178"/>
    <cellStyle name="표준 2 5 2 2 2 10" xfId="1852"/>
    <cellStyle name="표준 2 5 2 2 2 10 2" xfId="13279"/>
    <cellStyle name="표준 2 5 2 2 2 11" xfId="11819"/>
    <cellStyle name="표준 2 5 2 2 2 2" xfId="290"/>
    <cellStyle name="표준 2 5 2 2 2 2 2" xfId="574"/>
    <cellStyle name="표준 2 5 2 2 2 2 2 2" xfId="1662"/>
    <cellStyle name="표준 2 5 2 2 2 2 2 2 2" xfId="10240"/>
    <cellStyle name="표준 2 5 2 2 2 2 2 2 2 2" xfId="21488"/>
    <cellStyle name="표준 2 5 2 2 2 2 2 2 3" xfId="7802"/>
    <cellStyle name="표준 2 5 2 2 2 2 2 2 3 2" xfId="19050"/>
    <cellStyle name="표준 2 5 2 2 2 2 2 2 4" xfId="5363"/>
    <cellStyle name="표준 2 5 2 2 2 2 2 2 4 2" xfId="16612"/>
    <cellStyle name="표준 2 5 2 2 2 2 2 2 5" xfId="3274"/>
    <cellStyle name="표준 2 5 2 2 2 2 2 2 5 2" xfId="14552"/>
    <cellStyle name="표준 2 5 2 2 2 2 2 2 6" xfId="13092"/>
    <cellStyle name="표준 2 5 2 2 2 2 2 3" xfId="9250"/>
    <cellStyle name="표준 2 5 2 2 2 2 2 3 2" xfId="20498"/>
    <cellStyle name="표준 2 5 2 2 2 2 2 4" xfId="6812"/>
    <cellStyle name="표준 2 5 2 2 2 2 2 4 2" xfId="18060"/>
    <cellStyle name="표준 2 5 2 2 2 2 2 5" xfId="4371"/>
    <cellStyle name="표준 2 5 2 2 2 2 2 5 2" xfId="15622"/>
    <cellStyle name="표준 2 5 2 2 2 2 2 6" xfId="2246"/>
    <cellStyle name="표준 2 5 2 2 2 2 2 6 2" xfId="13673"/>
    <cellStyle name="표준 2 5 2 2 2 2 2 7" xfId="12213"/>
    <cellStyle name="표준 2 5 2 2 2 2 3" xfId="1277"/>
    <cellStyle name="표준 2 5 2 2 2 2 3 2" xfId="9787"/>
    <cellStyle name="표준 2 5 2 2 2 2 3 2 2" xfId="21035"/>
    <cellStyle name="표준 2 5 2 2 2 2 3 3" xfId="7349"/>
    <cellStyle name="표준 2 5 2 2 2 2 3 3 2" xfId="18597"/>
    <cellStyle name="표준 2 5 2 2 2 2 3 4" xfId="4910"/>
    <cellStyle name="표준 2 5 2 2 2 2 3 4 2" xfId="16159"/>
    <cellStyle name="표준 2 5 2 2 2 2 3 5" xfId="2898"/>
    <cellStyle name="표준 2 5 2 2 2 2 3 5 2" xfId="14176"/>
    <cellStyle name="표준 2 5 2 2 2 2 3 6" xfId="12716"/>
    <cellStyle name="표준 2 5 2 2 2 2 4" xfId="8797"/>
    <cellStyle name="표준 2 5 2 2 2 2 4 2" xfId="20045"/>
    <cellStyle name="표준 2 5 2 2 2 2 5" xfId="6359"/>
    <cellStyle name="표준 2 5 2 2 2 2 5 2" xfId="17607"/>
    <cellStyle name="표준 2 5 2 2 2 2 6" xfId="11053"/>
    <cellStyle name="표준 2 5 2 2 2 2 6 2" xfId="22300"/>
    <cellStyle name="표준 2 5 2 2 2 2 7" xfId="3918"/>
    <cellStyle name="표준 2 5 2 2 2 2 7 2" xfId="15169"/>
    <cellStyle name="표준 2 5 2 2 2 2 8" xfId="1962"/>
    <cellStyle name="표준 2 5 2 2 2 2 8 2" xfId="13389"/>
    <cellStyle name="표준 2 5 2 2 2 2 9" xfId="11929"/>
    <cellStyle name="표준 2 5 2 2 2 3" xfId="464"/>
    <cellStyle name="표준 2 5 2 2 2 3 2" xfId="1557"/>
    <cellStyle name="표준 2 5 2 2 2 3 2 2" xfId="10013"/>
    <cellStyle name="표준 2 5 2 2 2 3 2 2 2" xfId="21261"/>
    <cellStyle name="표준 2 5 2 2 2 3 2 3" xfId="7575"/>
    <cellStyle name="표준 2 5 2 2 2 3 2 3 2" xfId="18823"/>
    <cellStyle name="표준 2 5 2 2 2 3 2 4" xfId="5136"/>
    <cellStyle name="표준 2 5 2 2 2 3 2 4 2" xfId="16385"/>
    <cellStyle name="표준 2 5 2 2 2 3 2 5" xfId="3169"/>
    <cellStyle name="표준 2 5 2 2 2 3 2 5 2" xfId="14447"/>
    <cellStyle name="표준 2 5 2 2 2 3 2 6" xfId="12987"/>
    <cellStyle name="표준 2 5 2 2 2 3 3" xfId="9023"/>
    <cellStyle name="표준 2 5 2 2 2 3 3 2" xfId="20271"/>
    <cellStyle name="표준 2 5 2 2 2 3 4" xfId="6585"/>
    <cellStyle name="표준 2 5 2 2 2 3 4 2" xfId="17833"/>
    <cellStyle name="표준 2 5 2 2 2 3 5" xfId="4144"/>
    <cellStyle name="표준 2 5 2 2 2 3 5 2" xfId="15395"/>
    <cellStyle name="표준 2 5 2 2 2 3 6" xfId="2136"/>
    <cellStyle name="표준 2 5 2 2 2 3 6 2" xfId="13563"/>
    <cellStyle name="표준 2 5 2 2 2 3 7" xfId="12103"/>
    <cellStyle name="표준 2 5 2 2 2 4" xfId="796"/>
    <cellStyle name="표준 2 5 2 2 2 4 2" xfId="9561"/>
    <cellStyle name="표준 2 5 2 2 2 4 2 2" xfId="20809"/>
    <cellStyle name="표준 2 5 2 2 2 4 3" xfId="7123"/>
    <cellStyle name="표준 2 5 2 2 2 4 3 2" xfId="18371"/>
    <cellStyle name="표준 2 5 2 2 2 4 4" xfId="4684"/>
    <cellStyle name="표준 2 5 2 2 2 4 4 2" xfId="15933"/>
    <cellStyle name="표준 2 5 2 2 2 4 5" xfId="2423"/>
    <cellStyle name="표준 2 5 2 2 2 4 5 2" xfId="13818"/>
    <cellStyle name="표준 2 5 2 2 2 4 6" xfId="12358"/>
    <cellStyle name="표준 2 5 2 2 2 5" xfId="1167"/>
    <cellStyle name="표준 2 5 2 2 2 5 2" xfId="8584"/>
    <cellStyle name="표준 2 5 2 2 2 5 2 2" xfId="19832"/>
    <cellStyle name="표준 2 5 2 2 2 5 3" xfId="6146"/>
    <cellStyle name="표준 2 5 2 2 2 5 3 2" xfId="17394"/>
    <cellStyle name="표준 2 5 2 2 2 5 4" xfId="3705"/>
    <cellStyle name="표준 2 5 2 2 2 5 4 2" xfId="14956"/>
    <cellStyle name="표준 2 5 2 2 2 5 5" xfId="2788"/>
    <cellStyle name="표준 2 5 2 2 2 5 5 2" xfId="14066"/>
    <cellStyle name="표준 2 5 2 2 2 5 6" xfId="12606"/>
    <cellStyle name="표준 2 5 2 2 2 6" xfId="8422"/>
    <cellStyle name="표준 2 5 2 2 2 6 2" xfId="19670"/>
    <cellStyle name="표준 2 5 2 2 2 7" xfId="5984"/>
    <cellStyle name="표준 2 5 2 2 2 7 2" xfId="17232"/>
    <cellStyle name="표준 2 5 2 2 2 8" xfId="10868"/>
    <cellStyle name="표준 2 5 2 2 2 8 2" xfId="22116"/>
    <cellStyle name="표준 2 5 2 2 2 9" xfId="3522"/>
    <cellStyle name="표준 2 5 2 2 2 9 2" xfId="14794"/>
    <cellStyle name="표준 2 5 2 2 3" xfId="231"/>
    <cellStyle name="표준 2 5 2 2 3 10" xfId="11870"/>
    <cellStyle name="표준 2 5 2 2 3 2" xfId="515"/>
    <cellStyle name="표준 2 5 2 2 3 2 2" xfId="1603"/>
    <cellStyle name="표준 2 5 2 2 3 2 2 2" xfId="5449"/>
    <cellStyle name="표준 2 5 2 2 3 2 2 2 2" xfId="10326"/>
    <cellStyle name="표준 2 5 2 2 3 2 2 2 2 2" xfId="21574"/>
    <cellStyle name="표준 2 5 2 2 3 2 2 2 3" xfId="7888"/>
    <cellStyle name="표준 2 5 2 2 3 2 2 2 3 2" xfId="19136"/>
    <cellStyle name="표준 2 5 2 2 3 2 2 2 4" xfId="16698"/>
    <cellStyle name="표준 2 5 2 2 3 2 2 3" xfId="9336"/>
    <cellStyle name="표준 2 5 2 2 3 2 2 3 2" xfId="20584"/>
    <cellStyle name="표준 2 5 2 2 3 2 2 4" xfId="6898"/>
    <cellStyle name="표준 2 5 2 2 3 2 2 4 2" xfId="18146"/>
    <cellStyle name="표준 2 5 2 2 3 2 2 5" xfId="4457"/>
    <cellStyle name="표준 2 5 2 2 3 2 2 5 2" xfId="15708"/>
    <cellStyle name="표준 2 5 2 2 3 2 2 6" xfId="3215"/>
    <cellStyle name="표준 2 5 2 2 3 2 2 6 2" xfId="14493"/>
    <cellStyle name="표준 2 5 2 2 3 2 2 7" xfId="13033"/>
    <cellStyle name="표준 2 5 2 2 3 2 3" xfId="4996"/>
    <cellStyle name="표준 2 5 2 2 3 2 3 2" xfId="9873"/>
    <cellStyle name="표준 2 5 2 2 3 2 3 2 2" xfId="21121"/>
    <cellStyle name="표준 2 5 2 2 3 2 3 3" xfId="7435"/>
    <cellStyle name="표준 2 5 2 2 3 2 3 3 2" xfId="18683"/>
    <cellStyle name="표준 2 5 2 2 3 2 3 4" xfId="16245"/>
    <cellStyle name="표준 2 5 2 2 3 2 4" xfId="8883"/>
    <cellStyle name="표준 2 5 2 2 3 2 4 2" xfId="20131"/>
    <cellStyle name="표준 2 5 2 2 3 2 5" xfId="6445"/>
    <cellStyle name="표준 2 5 2 2 3 2 5 2" xfId="17693"/>
    <cellStyle name="표준 2 5 2 2 3 2 6" xfId="4004"/>
    <cellStyle name="표준 2 5 2 2 3 2 6 2" xfId="15255"/>
    <cellStyle name="표준 2 5 2 2 3 2 7" xfId="2187"/>
    <cellStyle name="표준 2 5 2 2 3 2 7 2" xfId="13614"/>
    <cellStyle name="표준 2 5 2 2 3 2 8" xfId="12154"/>
    <cellStyle name="표준 2 5 2 2 3 3" xfId="1218"/>
    <cellStyle name="표준 2 5 2 2 3 3 2" xfId="5222"/>
    <cellStyle name="표준 2 5 2 2 3 3 2 2" xfId="10099"/>
    <cellStyle name="표준 2 5 2 2 3 3 2 2 2" xfId="21347"/>
    <cellStyle name="표준 2 5 2 2 3 3 2 3" xfId="7661"/>
    <cellStyle name="표준 2 5 2 2 3 3 2 3 2" xfId="18909"/>
    <cellStyle name="표준 2 5 2 2 3 3 2 4" xfId="16471"/>
    <cellStyle name="표준 2 5 2 2 3 3 3" xfId="9109"/>
    <cellStyle name="표준 2 5 2 2 3 3 3 2" xfId="20357"/>
    <cellStyle name="표준 2 5 2 2 3 3 4" xfId="6671"/>
    <cellStyle name="표준 2 5 2 2 3 3 4 2" xfId="17919"/>
    <cellStyle name="표준 2 5 2 2 3 3 5" xfId="4230"/>
    <cellStyle name="표준 2 5 2 2 3 3 5 2" xfId="15481"/>
    <cellStyle name="표준 2 5 2 2 3 3 6" xfId="2839"/>
    <cellStyle name="표준 2 5 2 2 3 3 6 2" xfId="14117"/>
    <cellStyle name="표준 2 5 2 2 3 3 7" xfId="12657"/>
    <cellStyle name="표준 2 5 2 2 3 4" xfId="4770"/>
    <cellStyle name="표준 2 5 2 2 3 4 2" xfId="9647"/>
    <cellStyle name="표준 2 5 2 2 3 4 2 2" xfId="20895"/>
    <cellStyle name="표준 2 5 2 2 3 4 3" xfId="7209"/>
    <cellStyle name="표준 2 5 2 2 3 4 3 2" xfId="18457"/>
    <cellStyle name="표준 2 5 2 2 3 4 4" xfId="16019"/>
    <cellStyle name="표준 2 5 2 2 3 5" xfId="8657"/>
    <cellStyle name="표준 2 5 2 2 3 5 2" xfId="19905"/>
    <cellStyle name="표준 2 5 2 2 3 6" xfId="6219"/>
    <cellStyle name="표준 2 5 2 2 3 6 2" xfId="17467"/>
    <cellStyle name="표준 2 5 2 2 3 7" xfId="10970"/>
    <cellStyle name="표준 2 5 2 2 3 7 2" xfId="22217"/>
    <cellStyle name="표준 2 5 2 2 3 8" xfId="3778"/>
    <cellStyle name="표준 2 5 2 2 3 8 2" xfId="15029"/>
    <cellStyle name="표준 2 5 2 2 3 9" xfId="1903"/>
    <cellStyle name="표준 2 5 2 2 3 9 2" xfId="13330"/>
    <cellStyle name="표준 2 5 2 2 4" xfId="405"/>
    <cellStyle name="표준 2 5 2 2 4 2" xfId="1503"/>
    <cellStyle name="표준 2 5 2 2 4 2 2" xfId="5294"/>
    <cellStyle name="표준 2 5 2 2 4 2 2 2" xfId="10171"/>
    <cellStyle name="표준 2 5 2 2 4 2 2 2 2" xfId="21419"/>
    <cellStyle name="표준 2 5 2 2 4 2 2 3" xfId="7733"/>
    <cellStyle name="표준 2 5 2 2 4 2 2 3 2" xfId="18981"/>
    <cellStyle name="표준 2 5 2 2 4 2 2 4" xfId="16543"/>
    <cellStyle name="표준 2 5 2 2 4 2 3" xfId="9181"/>
    <cellStyle name="표준 2 5 2 2 4 2 3 2" xfId="20429"/>
    <cellStyle name="표준 2 5 2 2 4 2 4" xfId="6743"/>
    <cellStyle name="표준 2 5 2 2 4 2 4 2" xfId="17991"/>
    <cellStyle name="표준 2 5 2 2 4 2 5" xfId="4302"/>
    <cellStyle name="표준 2 5 2 2 4 2 5 2" xfId="15553"/>
    <cellStyle name="표준 2 5 2 2 4 2 6" xfId="3115"/>
    <cellStyle name="표준 2 5 2 2 4 2 6 2" xfId="14393"/>
    <cellStyle name="표준 2 5 2 2 4 2 7" xfId="12933"/>
    <cellStyle name="표준 2 5 2 2 4 3" xfId="1108"/>
    <cellStyle name="표준 2 5 2 2 4 3 2" xfId="9718"/>
    <cellStyle name="표준 2 5 2 2 4 3 2 2" xfId="20966"/>
    <cellStyle name="표준 2 5 2 2 4 3 3" xfId="7280"/>
    <cellStyle name="표준 2 5 2 2 4 3 3 2" xfId="18528"/>
    <cellStyle name="표준 2 5 2 2 4 3 4" xfId="4841"/>
    <cellStyle name="표준 2 5 2 2 4 3 4 2" xfId="16090"/>
    <cellStyle name="표준 2 5 2 2 4 3 5" xfId="2729"/>
    <cellStyle name="표준 2 5 2 2 4 3 5 2" xfId="14007"/>
    <cellStyle name="표준 2 5 2 2 4 3 6" xfId="12547"/>
    <cellStyle name="표준 2 5 2 2 4 4" xfId="8728"/>
    <cellStyle name="표준 2 5 2 2 4 4 2" xfId="19976"/>
    <cellStyle name="표준 2 5 2 2 4 5" xfId="6290"/>
    <cellStyle name="표준 2 5 2 2 4 5 2" xfId="17538"/>
    <cellStyle name="표준 2 5 2 2 4 6" xfId="3849"/>
    <cellStyle name="표준 2 5 2 2 4 6 2" xfId="15100"/>
    <cellStyle name="표준 2 5 2 2 4 7" xfId="2077"/>
    <cellStyle name="표준 2 5 2 2 4 7 2" xfId="13504"/>
    <cellStyle name="표준 2 5 2 2 4 8" xfId="12044"/>
    <cellStyle name="표준 2 5 2 2 5" xfId="354"/>
    <cellStyle name="표준 2 5 2 2 5 2" xfId="1741"/>
    <cellStyle name="표준 2 5 2 2 5 2 2" xfId="9944"/>
    <cellStyle name="표준 2 5 2 2 5 2 2 2" xfId="21192"/>
    <cellStyle name="표준 2 5 2 2 5 2 3" xfId="7506"/>
    <cellStyle name="표준 2 5 2 2 5 2 3 2" xfId="18754"/>
    <cellStyle name="표준 2 5 2 2 5 2 4" xfId="5067"/>
    <cellStyle name="표준 2 5 2 2 5 2 4 2" xfId="16316"/>
    <cellStyle name="표준 2 5 2 2 5 2 5" xfId="3353"/>
    <cellStyle name="표준 2 5 2 2 5 2 5 2" xfId="14631"/>
    <cellStyle name="표준 2 5 2 2 5 2 6" xfId="13171"/>
    <cellStyle name="표준 2 5 2 2 5 3" xfId="1359"/>
    <cellStyle name="표준 2 5 2 2 5 3 2" xfId="8954"/>
    <cellStyle name="표준 2 5 2 2 5 3 2 2" xfId="20202"/>
    <cellStyle name="표준 2 5 2 2 5 3 3" xfId="2980"/>
    <cellStyle name="표준 2 5 2 2 5 3 3 2" xfId="14258"/>
    <cellStyle name="표준 2 5 2 2 5 3 4" xfId="12798"/>
    <cellStyle name="표준 2 5 2 2 5 4" xfId="6516"/>
    <cellStyle name="표준 2 5 2 2 5 4 2" xfId="17764"/>
    <cellStyle name="표준 2 5 2 2 5 5" xfId="4075"/>
    <cellStyle name="표준 2 5 2 2 5 5 2" xfId="15326"/>
    <cellStyle name="표준 2 5 2 2 5 6" xfId="2026"/>
    <cellStyle name="표준 2 5 2 2 5 6 2" xfId="13453"/>
    <cellStyle name="표준 2 5 2 2 5 7" xfId="11993"/>
    <cellStyle name="표준 2 5 2 2 6" xfId="695"/>
    <cellStyle name="표준 2 5 2 2 6 2" xfId="1449"/>
    <cellStyle name="표준 2 5 2 2 6 2 2" xfId="10420"/>
    <cellStyle name="표준 2 5 2 2 6 2 2 2" xfId="21668"/>
    <cellStyle name="표준 2 5 2 2 6 2 3" xfId="7982"/>
    <cellStyle name="표준 2 5 2 2 6 2 3 2" xfId="19230"/>
    <cellStyle name="표준 2 5 2 2 6 2 4" xfId="5543"/>
    <cellStyle name="표준 2 5 2 2 6 2 4 2" xfId="16792"/>
    <cellStyle name="표준 2 5 2 2 6 2 5" xfId="3063"/>
    <cellStyle name="표준 2 5 2 2 6 2 5 2" xfId="14341"/>
    <cellStyle name="표준 2 5 2 2 6 2 6" xfId="12881"/>
    <cellStyle name="표준 2 5 2 2 6 3" xfId="9430"/>
    <cellStyle name="표준 2 5 2 2 6 3 2" xfId="20678"/>
    <cellStyle name="표준 2 5 2 2 6 4" xfId="6992"/>
    <cellStyle name="표준 2 5 2 2 6 4 2" xfId="18240"/>
    <cellStyle name="표준 2 5 2 2 6 5" xfId="4553"/>
    <cellStyle name="표준 2 5 2 2 6 5 2" xfId="15802"/>
    <cellStyle name="표준 2 5 2 2 6 6" xfId="2327"/>
    <cellStyle name="표준 2 5 2 2 6 6 2" xfId="13740"/>
    <cellStyle name="표준 2 5 2 2 6 7" xfId="12280"/>
    <cellStyle name="표준 2 5 2 2 7" xfId="1057"/>
    <cellStyle name="표준 2 5 2 2 7 2" xfId="9492"/>
    <cellStyle name="표준 2 5 2 2 7 2 2" xfId="20740"/>
    <cellStyle name="표준 2 5 2 2 7 3" xfId="7054"/>
    <cellStyle name="표준 2 5 2 2 7 3 2" xfId="18302"/>
    <cellStyle name="표준 2 5 2 2 7 4" xfId="4615"/>
    <cellStyle name="표준 2 5 2 2 7 4 2" xfId="15864"/>
    <cellStyle name="표준 2 5 2 2 7 5" xfId="2678"/>
    <cellStyle name="표준 2 5 2 2 7 5 2" xfId="13956"/>
    <cellStyle name="표준 2 5 2 2 7 6" xfId="12496"/>
    <cellStyle name="표준 2 5 2 2 8" xfId="993"/>
    <cellStyle name="표준 2 5 2 2 8 2" xfId="10504"/>
    <cellStyle name="표준 2 5 2 2 8 2 2" xfId="21752"/>
    <cellStyle name="표준 2 5 2 2 8 3" xfId="8066"/>
    <cellStyle name="표준 2 5 2 2 8 3 2" xfId="19314"/>
    <cellStyle name="표준 2 5 2 2 8 4" xfId="5627"/>
    <cellStyle name="표준 2 5 2 2 8 4 2" xfId="16876"/>
    <cellStyle name="표준 2 5 2 2 8 5" xfId="2614"/>
    <cellStyle name="표준 2 5 2 2 8 5 2" xfId="13892"/>
    <cellStyle name="표준 2 5 2 2 8 6" xfId="12432"/>
    <cellStyle name="표준 2 5 2 2 9" xfId="5733"/>
    <cellStyle name="표준 2 5 2 2 9 2" xfId="10610"/>
    <cellStyle name="표준 2 5 2 2 9 2 2" xfId="21858"/>
    <cellStyle name="표준 2 5 2 2 9 3" xfId="8172"/>
    <cellStyle name="표준 2 5 2 2 9 3 2" xfId="19420"/>
    <cellStyle name="표준 2 5 2 2 9 4" xfId="16982"/>
    <cellStyle name="표준 2 5 2 3" xfId="104"/>
    <cellStyle name="표준 2 5 2 3 10" xfId="1820"/>
    <cellStyle name="표준 2 5 2 3 10 2" xfId="13249"/>
    <cellStyle name="표준 2 5 2 3 11" xfId="11789"/>
    <cellStyle name="표준 2 5 2 3 2" xfId="260"/>
    <cellStyle name="표준 2 5 2 3 2 2" xfId="544"/>
    <cellStyle name="표준 2 5 2 3 2 2 2" xfId="1632"/>
    <cellStyle name="표준 2 5 2 3 2 2 2 2" xfId="10239"/>
    <cellStyle name="표준 2 5 2 3 2 2 2 2 2" xfId="21487"/>
    <cellStyle name="표준 2 5 2 3 2 2 2 3" xfId="7801"/>
    <cellStyle name="표준 2 5 2 3 2 2 2 3 2" xfId="19049"/>
    <cellStyle name="표준 2 5 2 3 2 2 2 4" xfId="5362"/>
    <cellStyle name="표준 2 5 2 3 2 2 2 4 2" xfId="16611"/>
    <cellStyle name="표준 2 5 2 3 2 2 2 5" xfId="3244"/>
    <cellStyle name="표준 2 5 2 3 2 2 2 5 2" xfId="14522"/>
    <cellStyle name="표준 2 5 2 3 2 2 2 6" xfId="13062"/>
    <cellStyle name="표준 2 5 2 3 2 2 3" xfId="9249"/>
    <cellStyle name="표준 2 5 2 3 2 2 3 2" xfId="20497"/>
    <cellStyle name="표준 2 5 2 3 2 2 4" xfId="6811"/>
    <cellStyle name="표준 2 5 2 3 2 2 4 2" xfId="18059"/>
    <cellStyle name="표준 2 5 2 3 2 2 5" xfId="4370"/>
    <cellStyle name="표준 2 5 2 3 2 2 5 2" xfId="15621"/>
    <cellStyle name="표준 2 5 2 3 2 2 6" xfId="2216"/>
    <cellStyle name="표준 2 5 2 3 2 2 6 2" xfId="13643"/>
    <cellStyle name="표준 2 5 2 3 2 2 7" xfId="12183"/>
    <cellStyle name="표준 2 5 2 3 2 3" xfId="1247"/>
    <cellStyle name="표준 2 5 2 3 2 3 2" xfId="9786"/>
    <cellStyle name="표준 2 5 2 3 2 3 2 2" xfId="21034"/>
    <cellStyle name="표준 2 5 2 3 2 3 3" xfId="7348"/>
    <cellStyle name="표준 2 5 2 3 2 3 3 2" xfId="18596"/>
    <cellStyle name="표준 2 5 2 3 2 3 4" xfId="4909"/>
    <cellStyle name="표준 2 5 2 3 2 3 4 2" xfId="16158"/>
    <cellStyle name="표준 2 5 2 3 2 3 5" xfId="2868"/>
    <cellStyle name="표준 2 5 2 3 2 3 5 2" xfId="14146"/>
    <cellStyle name="표준 2 5 2 3 2 3 6" xfId="12686"/>
    <cellStyle name="표준 2 5 2 3 2 4" xfId="8796"/>
    <cellStyle name="표준 2 5 2 3 2 4 2" xfId="20044"/>
    <cellStyle name="표준 2 5 2 3 2 5" xfId="6358"/>
    <cellStyle name="표준 2 5 2 3 2 5 2" xfId="17606"/>
    <cellStyle name="표준 2 5 2 3 2 6" xfId="11052"/>
    <cellStyle name="표준 2 5 2 3 2 6 2" xfId="22299"/>
    <cellStyle name="표준 2 5 2 3 2 7" xfId="3917"/>
    <cellStyle name="표준 2 5 2 3 2 7 2" xfId="15168"/>
    <cellStyle name="표준 2 5 2 3 2 8" xfId="1932"/>
    <cellStyle name="표준 2 5 2 3 2 8 2" xfId="13359"/>
    <cellStyle name="표준 2 5 2 3 2 9" xfId="11899"/>
    <cellStyle name="표준 2 5 2 3 3" xfId="434"/>
    <cellStyle name="표준 2 5 2 3 3 2" xfId="1527"/>
    <cellStyle name="표준 2 5 2 3 3 2 2" xfId="10012"/>
    <cellStyle name="표준 2 5 2 3 3 2 2 2" xfId="21260"/>
    <cellStyle name="표준 2 5 2 3 3 2 3" xfId="7574"/>
    <cellStyle name="표준 2 5 2 3 3 2 3 2" xfId="18822"/>
    <cellStyle name="표준 2 5 2 3 3 2 4" xfId="5135"/>
    <cellStyle name="표준 2 5 2 3 3 2 4 2" xfId="16384"/>
    <cellStyle name="표준 2 5 2 3 3 2 5" xfId="3139"/>
    <cellStyle name="표준 2 5 2 3 3 2 5 2" xfId="14417"/>
    <cellStyle name="표준 2 5 2 3 3 2 6" xfId="12957"/>
    <cellStyle name="표준 2 5 2 3 3 3" xfId="9022"/>
    <cellStyle name="표준 2 5 2 3 3 3 2" xfId="20270"/>
    <cellStyle name="표준 2 5 2 3 3 4" xfId="6584"/>
    <cellStyle name="표준 2 5 2 3 3 4 2" xfId="17832"/>
    <cellStyle name="표준 2 5 2 3 3 5" xfId="4143"/>
    <cellStyle name="표준 2 5 2 3 3 5 2" xfId="15394"/>
    <cellStyle name="표준 2 5 2 3 3 6" xfId="2106"/>
    <cellStyle name="표준 2 5 2 3 3 6 2" xfId="13533"/>
    <cellStyle name="표준 2 5 2 3 3 7" xfId="12073"/>
    <cellStyle name="표준 2 5 2 3 4" xfId="795"/>
    <cellStyle name="표준 2 5 2 3 4 2" xfId="9560"/>
    <cellStyle name="표준 2 5 2 3 4 2 2" xfId="20808"/>
    <cellStyle name="표준 2 5 2 3 4 3" xfId="7122"/>
    <cellStyle name="표준 2 5 2 3 4 3 2" xfId="18370"/>
    <cellStyle name="표준 2 5 2 3 4 4" xfId="4683"/>
    <cellStyle name="표준 2 5 2 3 4 4 2" xfId="15932"/>
    <cellStyle name="표준 2 5 2 3 4 5" xfId="2422"/>
    <cellStyle name="표준 2 5 2 3 4 5 2" xfId="13817"/>
    <cellStyle name="표준 2 5 2 3 4 6" xfId="12357"/>
    <cellStyle name="표준 2 5 2 3 5" xfId="1137"/>
    <cellStyle name="표준 2 5 2 3 5 2" xfId="8583"/>
    <cellStyle name="표준 2 5 2 3 5 2 2" xfId="19831"/>
    <cellStyle name="표준 2 5 2 3 5 3" xfId="6145"/>
    <cellStyle name="표준 2 5 2 3 5 3 2" xfId="17393"/>
    <cellStyle name="표준 2 5 2 3 5 4" xfId="3704"/>
    <cellStyle name="표준 2 5 2 3 5 4 2" xfId="14955"/>
    <cellStyle name="표준 2 5 2 3 5 5" xfId="2758"/>
    <cellStyle name="표준 2 5 2 3 5 5 2" xfId="14036"/>
    <cellStyle name="표준 2 5 2 3 5 6" xfId="12576"/>
    <cellStyle name="표준 2 5 2 3 6" xfId="8421"/>
    <cellStyle name="표준 2 5 2 3 6 2" xfId="19669"/>
    <cellStyle name="표준 2 5 2 3 7" xfId="5983"/>
    <cellStyle name="표준 2 5 2 3 7 2" xfId="17231"/>
    <cellStyle name="표준 2 5 2 3 8" xfId="10867"/>
    <cellStyle name="표준 2 5 2 3 8 2" xfId="22115"/>
    <cellStyle name="표준 2 5 2 3 9" xfId="3521"/>
    <cellStyle name="표준 2 5 2 3 9 2" xfId="14793"/>
    <cellStyle name="표준 2 5 2 4" xfId="212"/>
    <cellStyle name="표준 2 5 2 4 10" xfId="11851"/>
    <cellStyle name="표준 2 5 2 4 2" xfId="496"/>
    <cellStyle name="표준 2 5 2 4 2 2" xfId="1584"/>
    <cellStyle name="표준 2 5 2 4 2 2 2" xfId="5448"/>
    <cellStyle name="표준 2 5 2 4 2 2 2 2" xfId="10325"/>
    <cellStyle name="표준 2 5 2 4 2 2 2 2 2" xfId="21573"/>
    <cellStyle name="표준 2 5 2 4 2 2 2 3" xfId="7887"/>
    <cellStyle name="표준 2 5 2 4 2 2 2 3 2" xfId="19135"/>
    <cellStyle name="표준 2 5 2 4 2 2 2 4" xfId="16697"/>
    <cellStyle name="표준 2 5 2 4 2 2 3" xfId="9335"/>
    <cellStyle name="표준 2 5 2 4 2 2 3 2" xfId="20583"/>
    <cellStyle name="표준 2 5 2 4 2 2 4" xfId="6897"/>
    <cellStyle name="표준 2 5 2 4 2 2 4 2" xfId="18145"/>
    <cellStyle name="표준 2 5 2 4 2 2 5" xfId="4456"/>
    <cellStyle name="표준 2 5 2 4 2 2 5 2" xfId="15707"/>
    <cellStyle name="표준 2 5 2 4 2 2 6" xfId="3196"/>
    <cellStyle name="표준 2 5 2 4 2 2 6 2" xfId="14474"/>
    <cellStyle name="표준 2 5 2 4 2 2 7" xfId="13014"/>
    <cellStyle name="표준 2 5 2 4 2 3" xfId="4995"/>
    <cellStyle name="표준 2 5 2 4 2 3 2" xfId="9872"/>
    <cellStyle name="표준 2 5 2 4 2 3 2 2" xfId="21120"/>
    <cellStyle name="표준 2 5 2 4 2 3 3" xfId="7434"/>
    <cellStyle name="표준 2 5 2 4 2 3 3 2" xfId="18682"/>
    <cellStyle name="표준 2 5 2 4 2 3 4" xfId="16244"/>
    <cellStyle name="표준 2 5 2 4 2 4" xfId="8882"/>
    <cellStyle name="표준 2 5 2 4 2 4 2" xfId="20130"/>
    <cellStyle name="표준 2 5 2 4 2 5" xfId="6444"/>
    <cellStyle name="표준 2 5 2 4 2 5 2" xfId="17692"/>
    <cellStyle name="표준 2 5 2 4 2 6" xfId="4003"/>
    <cellStyle name="표준 2 5 2 4 2 6 2" xfId="15254"/>
    <cellStyle name="표준 2 5 2 4 2 7" xfId="2168"/>
    <cellStyle name="표준 2 5 2 4 2 7 2" xfId="13595"/>
    <cellStyle name="표준 2 5 2 4 2 8" xfId="12135"/>
    <cellStyle name="표준 2 5 2 4 3" xfId="1199"/>
    <cellStyle name="표준 2 5 2 4 3 2" xfId="5221"/>
    <cellStyle name="표준 2 5 2 4 3 2 2" xfId="10098"/>
    <cellStyle name="표준 2 5 2 4 3 2 2 2" xfId="21346"/>
    <cellStyle name="표준 2 5 2 4 3 2 3" xfId="7660"/>
    <cellStyle name="표준 2 5 2 4 3 2 3 2" xfId="18908"/>
    <cellStyle name="표준 2 5 2 4 3 2 4" xfId="16470"/>
    <cellStyle name="표준 2 5 2 4 3 3" xfId="9108"/>
    <cellStyle name="표준 2 5 2 4 3 3 2" xfId="20356"/>
    <cellStyle name="표준 2 5 2 4 3 4" xfId="6670"/>
    <cellStyle name="표준 2 5 2 4 3 4 2" xfId="17918"/>
    <cellStyle name="표준 2 5 2 4 3 5" xfId="4229"/>
    <cellStyle name="표준 2 5 2 4 3 5 2" xfId="15480"/>
    <cellStyle name="표준 2 5 2 4 3 6" xfId="2820"/>
    <cellStyle name="표준 2 5 2 4 3 6 2" xfId="14098"/>
    <cellStyle name="표준 2 5 2 4 3 7" xfId="12638"/>
    <cellStyle name="표준 2 5 2 4 4" xfId="4769"/>
    <cellStyle name="표준 2 5 2 4 4 2" xfId="9646"/>
    <cellStyle name="표준 2 5 2 4 4 2 2" xfId="20894"/>
    <cellStyle name="표준 2 5 2 4 4 3" xfId="7208"/>
    <cellStyle name="표준 2 5 2 4 4 3 2" xfId="18456"/>
    <cellStyle name="표준 2 5 2 4 4 4" xfId="16018"/>
    <cellStyle name="표준 2 5 2 4 5" xfId="8656"/>
    <cellStyle name="표준 2 5 2 4 5 2" xfId="19904"/>
    <cellStyle name="표준 2 5 2 4 6" xfId="6218"/>
    <cellStyle name="표준 2 5 2 4 6 2" xfId="17466"/>
    <cellStyle name="표준 2 5 2 4 7" xfId="10969"/>
    <cellStyle name="표준 2 5 2 4 7 2" xfId="22216"/>
    <cellStyle name="표준 2 5 2 4 8" xfId="3777"/>
    <cellStyle name="표준 2 5 2 4 8 2" xfId="15028"/>
    <cellStyle name="표준 2 5 2 4 9" xfId="1884"/>
    <cellStyle name="표준 2 5 2 4 9 2" xfId="13311"/>
    <cellStyle name="표준 2 5 2 5" xfId="386"/>
    <cellStyle name="표준 2 5 2 5 2" xfId="1484"/>
    <cellStyle name="표준 2 5 2 5 2 2" xfId="5272"/>
    <cellStyle name="표준 2 5 2 5 2 2 2" xfId="10149"/>
    <cellStyle name="표준 2 5 2 5 2 2 2 2" xfId="21397"/>
    <cellStyle name="표준 2 5 2 5 2 2 3" xfId="7711"/>
    <cellStyle name="표준 2 5 2 5 2 2 3 2" xfId="18959"/>
    <cellStyle name="표준 2 5 2 5 2 2 4" xfId="16521"/>
    <cellStyle name="표준 2 5 2 5 2 3" xfId="9159"/>
    <cellStyle name="표준 2 5 2 5 2 3 2" xfId="20407"/>
    <cellStyle name="표준 2 5 2 5 2 4" xfId="6721"/>
    <cellStyle name="표준 2 5 2 5 2 4 2" xfId="17969"/>
    <cellStyle name="표준 2 5 2 5 2 5" xfId="4280"/>
    <cellStyle name="표준 2 5 2 5 2 5 2" xfId="15531"/>
    <cellStyle name="표준 2 5 2 5 2 6" xfId="3096"/>
    <cellStyle name="표준 2 5 2 5 2 6 2" xfId="14374"/>
    <cellStyle name="표준 2 5 2 5 2 7" xfId="12914"/>
    <cellStyle name="표준 2 5 2 5 3" xfId="1089"/>
    <cellStyle name="표준 2 5 2 5 3 2" xfId="9696"/>
    <cellStyle name="표준 2 5 2 5 3 2 2" xfId="20944"/>
    <cellStyle name="표준 2 5 2 5 3 3" xfId="7258"/>
    <cellStyle name="표준 2 5 2 5 3 3 2" xfId="18506"/>
    <cellStyle name="표준 2 5 2 5 3 4" xfId="4819"/>
    <cellStyle name="표준 2 5 2 5 3 4 2" xfId="16068"/>
    <cellStyle name="표준 2 5 2 5 3 5" xfId="2710"/>
    <cellStyle name="표준 2 5 2 5 3 5 2" xfId="13988"/>
    <cellStyle name="표준 2 5 2 5 3 6" xfId="12528"/>
    <cellStyle name="표준 2 5 2 5 4" xfId="8706"/>
    <cellStyle name="표준 2 5 2 5 4 2" xfId="19954"/>
    <cellStyle name="표준 2 5 2 5 5" xfId="6268"/>
    <cellStyle name="표준 2 5 2 5 5 2" xfId="17516"/>
    <cellStyle name="표준 2 5 2 5 6" xfId="3827"/>
    <cellStyle name="표준 2 5 2 5 6 2" xfId="15078"/>
    <cellStyle name="표준 2 5 2 5 7" xfId="2058"/>
    <cellStyle name="표준 2 5 2 5 7 2" xfId="13485"/>
    <cellStyle name="표준 2 5 2 5 8" xfId="12025"/>
    <cellStyle name="표준 2 5 2 6" xfId="324"/>
    <cellStyle name="표준 2 5 2 6 2" xfId="1740"/>
    <cellStyle name="표준 2 5 2 6 2 2" xfId="9922"/>
    <cellStyle name="표준 2 5 2 6 2 2 2" xfId="21170"/>
    <cellStyle name="표준 2 5 2 6 2 3" xfId="7484"/>
    <cellStyle name="표준 2 5 2 6 2 3 2" xfId="18732"/>
    <cellStyle name="표준 2 5 2 6 2 4" xfId="5045"/>
    <cellStyle name="표준 2 5 2 6 2 4 2" xfId="16294"/>
    <cellStyle name="표준 2 5 2 6 2 5" xfId="3352"/>
    <cellStyle name="표준 2 5 2 6 2 5 2" xfId="14630"/>
    <cellStyle name="표준 2 5 2 6 2 6" xfId="13170"/>
    <cellStyle name="표준 2 5 2 6 3" xfId="1358"/>
    <cellStyle name="표준 2 5 2 6 3 2" xfId="8932"/>
    <cellStyle name="표준 2 5 2 6 3 2 2" xfId="20180"/>
    <cellStyle name="표준 2 5 2 6 3 3" xfId="2979"/>
    <cellStyle name="표준 2 5 2 6 3 3 2" xfId="14257"/>
    <cellStyle name="표준 2 5 2 6 3 4" xfId="12797"/>
    <cellStyle name="표준 2 5 2 6 4" xfId="6494"/>
    <cellStyle name="표준 2 5 2 6 4 2" xfId="17742"/>
    <cellStyle name="표준 2 5 2 6 5" xfId="4053"/>
    <cellStyle name="표준 2 5 2 6 5 2" xfId="15304"/>
    <cellStyle name="표준 2 5 2 6 6" xfId="1996"/>
    <cellStyle name="표준 2 5 2 6 6 2" xfId="13423"/>
    <cellStyle name="표준 2 5 2 6 7" xfId="11963"/>
    <cellStyle name="표준 2 5 2 7" xfId="617"/>
    <cellStyle name="표준 2 5 2 7 2" xfId="1448"/>
    <cellStyle name="표준 2 5 2 7 2 2" xfId="10419"/>
    <cellStyle name="표준 2 5 2 7 2 2 2" xfId="21667"/>
    <cellStyle name="표준 2 5 2 7 2 3" xfId="7981"/>
    <cellStyle name="표준 2 5 2 7 2 3 2" xfId="19229"/>
    <cellStyle name="표준 2 5 2 7 2 4" xfId="5542"/>
    <cellStyle name="표준 2 5 2 7 2 4 2" xfId="16791"/>
    <cellStyle name="표준 2 5 2 7 2 5" xfId="3062"/>
    <cellStyle name="표준 2 5 2 7 2 5 2" xfId="14340"/>
    <cellStyle name="표준 2 5 2 7 2 6" xfId="12880"/>
    <cellStyle name="표준 2 5 2 7 3" xfId="9429"/>
    <cellStyle name="표준 2 5 2 7 3 2" xfId="20677"/>
    <cellStyle name="표준 2 5 2 7 4" xfId="6991"/>
    <cellStyle name="표준 2 5 2 7 4 2" xfId="18239"/>
    <cellStyle name="표준 2 5 2 7 5" xfId="4552"/>
    <cellStyle name="표준 2 5 2 7 5 2" xfId="15801"/>
    <cellStyle name="표준 2 5 2 7 6" xfId="2289"/>
    <cellStyle name="표준 2 5 2 7 6 2" xfId="13708"/>
    <cellStyle name="표준 2 5 2 7 7" xfId="12248"/>
    <cellStyle name="표준 2 5 2 8" xfId="1027"/>
    <cellStyle name="표준 2 5 2 8 2" xfId="9470"/>
    <cellStyle name="표준 2 5 2 8 2 2" xfId="20718"/>
    <cellStyle name="표준 2 5 2 8 3" xfId="7032"/>
    <cellStyle name="표준 2 5 2 8 3 2" xfId="18280"/>
    <cellStyle name="표준 2 5 2 8 4" xfId="4593"/>
    <cellStyle name="표준 2 5 2 8 4 2" xfId="15842"/>
    <cellStyle name="표준 2 5 2 8 5" xfId="2648"/>
    <cellStyle name="표준 2 5 2 8 5 2" xfId="13926"/>
    <cellStyle name="표준 2 5 2 8 6" xfId="12466"/>
    <cellStyle name="표준 2 5 2 9" xfId="963"/>
    <cellStyle name="표준 2 5 2 9 2" xfId="10503"/>
    <cellStyle name="표준 2 5 2 9 2 2" xfId="21751"/>
    <cellStyle name="표준 2 5 2 9 3" xfId="8065"/>
    <cellStyle name="표준 2 5 2 9 3 2" xfId="19313"/>
    <cellStyle name="표준 2 5 2 9 4" xfId="5626"/>
    <cellStyle name="표준 2 5 2 9 4 2" xfId="16875"/>
    <cellStyle name="표준 2 5 2 9 5" xfId="2585"/>
    <cellStyle name="표준 2 5 2 9 5 2" xfId="13863"/>
    <cellStyle name="표준 2 5 2 9 6" xfId="12403"/>
    <cellStyle name="표준 2 5 20" xfId="8282"/>
    <cellStyle name="표준 2 5 20 2" xfId="19530"/>
    <cellStyle name="표준 2 5 21" xfId="5844"/>
    <cellStyle name="표준 2 5 21 2" xfId="17092"/>
    <cellStyle name="표준 2 5 22" xfId="10723"/>
    <cellStyle name="표준 2 5 22 2" xfId="21971"/>
    <cellStyle name="표준 2 5 23" xfId="3376"/>
    <cellStyle name="표준 2 5 23 2" xfId="14654"/>
    <cellStyle name="표준 2 5 24" xfId="1767"/>
    <cellStyle name="표준 2 5 24 2" xfId="13196"/>
    <cellStyle name="표준 2 5 25" xfId="11736"/>
    <cellStyle name="표준 2 5 3" xfId="63"/>
    <cellStyle name="표준 2 5 3 10" xfId="8340"/>
    <cellStyle name="표준 2 5 3 10 2" xfId="19588"/>
    <cellStyle name="표준 2 5 3 11" xfId="5902"/>
    <cellStyle name="표준 2 5 3 11 2" xfId="17150"/>
    <cellStyle name="표준 2 5 3 12" xfId="10786"/>
    <cellStyle name="표준 2 5 3 12 2" xfId="22034"/>
    <cellStyle name="표준 2 5 3 13" xfId="3434"/>
    <cellStyle name="표준 2 5 3 13 2" xfId="14712"/>
    <cellStyle name="표준 2 5 3 14" xfId="1779"/>
    <cellStyle name="표준 2 5 3 14 2" xfId="13208"/>
    <cellStyle name="표준 2 5 3 15" xfId="11748"/>
    <cellStyle name="표준 2 5 3 2" xfId="82"/>
    <cellStyle name="표준 2 5 3 2 10" xfId="3621"/>
    <cellStyle name="표준 2 5 3 2 10 2" xfId="8520"/>
    <cellStyle name="표준 2 5 3 2 10 2 2" xfId="19768"/>
    <cellStyle name="표준 2 5 3 2 10 3" xfId="6082"/>
    <cellStyle name="표준 2 5 3 2 10 3 2" xfId="17330"/>
    <cellStyle name="표준 2 5 3 2 10 4" xfId="14892"/>
    <cellStyle name="표준 2 5 3 2 11" xfId="8341"/>
    <cellStyle name="표준 2 5 3 2 11 2" xfId="19589"/>
    <cellStyle name="표준 2 5 3 2 12" xfId="5903"/>
    <cellStyle name="표준 2 5 3 2 12 2" xfId="17151"/>
    <cellStyle name="표준 2 5 3 2 13" xfId="10787"/>
    <cellStyle name="표준 2 5 3 2 13 2" xfId="22035"/>
    <cellStyle name="표준 2 5 3 2 14" xfId="3435"/>
    <cellStyle name="표준 2 5 3 2 14 2" xfId="14713"/>
    <cellStyle name="표준 2 5 3 2 15" xfId="1798"/>
    <cellStyle name="표준 2 5 3 2 15 2" xfId="13227"/>
    <cellStyle name="표준 2 5 3 2 16" xfId="11767"/>
    <cellStyle name="표준 2 5 3 2 2" xfId="183"/>
    <cellStyle name="표준 2 5 3 2 2 10" xfId="1857"/>
    <cellStyle name="표준 2 5 3 2 2 10 2" xfId="13284"/>
    <cellStyle name="표준 2 5 3 2 2 11" xfId="11824"/>
    <cellStyle name="표준 2 5 3 2 2 2" xfId="295"/>
    <cellStyle name="표준 2 5 3 2 2 2 2" xfId="579"/>
    <cellStyle name="표준 2 5 3 2 2 2 2 2" xfId="1667"/>
    <cellStyle name="표준 2 5 3 2 2 2 2 2 2" xfId="10328"/>
    <cellStyle name="표준 2 5 3 2 2 2 2 2 2 2" xfId="21576"/>
    <cellStyle name="표준 2 5 3 2 2 2 2 2 3" xfId="7890"/>
    <cellStyle name="표준 2 5 3 2 2 2 2 2 3 2" xfId="19138"/>
    <cellStyle name="표준 2 5 3 2 2 2 2 2 4" xfId="5451"/>
    <cellStyle name="표준 2 5 3 2 2 2 2 2 4 2" xfId="16700"/>
    <cellStyle name="표준 2 5 3 2 2 2 2 2 5" xfId="3279"/>
    <cellStyle name="표준 2 5 3 2 2 2 2 2 5 2" xfId="14557"/>
    <cellStyle name="표준 2 5 3 2 2 2 2 2 6" xfId="13097"/>
    <cellStyle name="표준 2 5 3 2 2 2 2 3" xfId="9338"/>
    <cellStyle name="표준 2 5 3 2 2 2 2 3 2" xfId="20586"/>
    <cellStyle name="표준 2 5 3 2 2 2 2 4" xfId="6900"/>
    <cellStyle name="표준 2 5 3 2 2 2 2 4 2" xfId="18148"/>
    <cellStyle name="표준 2 5 3 2 2 2 2 5" xfId="4459"/>
    <cellStyle name="표준 2 5 3 2 2 2 2 5 2" xfId="15710"/>
    <cellStyle name="표준 2 5 3 2 2 2 2 6" xfId="2251"/>
    <cellStyle name="표준 2 5 3 2 2 2 2 6 2" xfId="13678"/>
    <cellStyle name="표준 2 5 3 2 2 2 2 7" xfId="12218"/>
    <cellStyle name="표준 2 5 3 2 2 2 3" xfId="1282"/>
    <cellStyle name="표준 2 5 3 2 2 2 3 2" xfId="9875"/>
    <cellStyle name="표준 2 5 3 2 2 2 3 2 2" xfId="21123"/>
    <cellStyle name="표준 2 5 3 2 2 2 3 3" xfId="7437"/>
    <cellStyle name="표준 2 5 3 2 2 2 3 3 2" xfId="18685"/>
    <cellStyle name="표준 2 5 3 2 2 2 3 4" xfId="4998"/>
    <cellStyle name="표준 2 5 3 2 2 2 3 4 2" xfId="16247"/>
    <cellStyle name="표준 2 5 3 2 2 2 3 5" xfId="2903"/>
    <cellStyle name="표준 2 5 3 2 2 2 3 5 2" xfId="14181"/>
    <cellStyle name="표준 2 5 3 2 2 2 3 6" xfId="12721"/>
    <cellStyle name="표준 2 5 3 2 2 2 4" xfId="8885"/>
    <cellStyle name="표준 2 5 3 2 2 2 4 2" xfId="20133"/>
    <cellStyle name="표준 2 5 3 2 2 2 5" xfId="6447"/>
    <cellStyle name="표준 2 5 3 2 2 2 5 2" xfId="17695"/>
    <cellStyle name="표준 2 5 3 2 2 2 6" xfId="11055"/>
    <cellStyle name="표준 2 5 3 2 2 2 6 2" xfId="22302"/>
    <cellStyle name="표준 2 5 3 2 2 2 7" xfId="4006"/>
    <cellStyle name="표준 2 5 3 2 2 2 7 2" xfId="15257"/>
    <cellStyle name="표준 2 5 3 2 2 2 8" xfId="1967"/>
    <cellStyle name="표준 2 5 3 2 2 2 8 2" xfId="13394"/>
    <cellStyle name="표준 2 5 3 2 2 2 9" xfId="11934"/>
    <cellStyle name="표준 2 5 3 2 2 3" xfId="469"/>
    <cellStyle name="표준 2 5 3 2 2 3 2" xfId="1562"/>
    <cellStyle name="표준 2 5 3 2 2 3 2 2" xfId="10101"/>
    <cellStyle name="표준 2 5 3 2 2 3 2 2 2" xfId="21349"/>
    <cellStyle name="표준 2 5 3 2 2 3 2 3" xfId="7663"/>
    <cellStyle name="표준 2 5 3 2 2 3 2 3 2" xfId="18911"/>
    <cellStyle name="표준 2 5 3 2 2 3 2 4" xfId="5224"/>
    <cellStyle name="표준 2 5 3 2 2 3 2 4 2" xfId="16473"/>
    <cellStyle name="표준 2 5 3 2 2 3 2 5" xfId="3174"/>
    <cellStyle name="표준 2 5 3 2 2 3 2 5 2" xfId="14452"/>
    <cellStyle name="표준 2 5 3 2 2 3 2 6" xfId="12992"/>
    <cellStyle name="표준 2 5 3 2 2 3 3" xfId="9111"/>
    <cellStyle name="표준 2 5 3 2 2 3 3 2" xfId="20359"/>
    <cellStyle name="표준 2 5 3 2 2 3 4" xfId="6673"/>
    <cellStyle name="표준 2 5 3 2 2 3 4 2" xfId="17921"/>
    <cellStyle name="표준 2 5 3 2 2 3 5" xfId="4232"/>
    <cellStyle name="표준 2 5 3 2 2 3 5 2" xfId="15483"/>
    <cellStyle name="표준 2 5 3 2 2 3 6" xfId="2141"/>
    <cellStyle name="표준 2 5 3 2 2 3 6 2" xfId="13568"/>
    <cellStyle name="표준 2 5 3 2 2 3 7" xfId="12108"/>
    <cellStyle name="표준 2 5 3 2 2 4" xfId="798"/>
    <cellStyle name="표준 2 5 3 2 2 4 2" xfId="9649"/>
    <cellStyle name="표준 2 5 3 2 2 4 2 2" xfId="20897"/>
    <cellStyle name="표준 2 5 3 2 2 4 3" xfId="7211"/>
    <cellStyle name="표준 2 5 3 2 2 4 3 2" xfId="18459"/>
    <cellStyle name="표준 2 5 3 2 2 4 4" xfId="4772"/>
    <cellStyle name="표준 2 5 3 2 2 4 4 2" xfId="16021"/>
    <cellStyle name="표준 2 5 3 2 2 4 5" xfId="2425"/>
    <cellStyle name="표준 2 5 3 2 2 4 5 2" xfId="13820"/>
    <cellStyle name="표준 2 5 3 2 2 4 6" xfId="12360"/>
    <cellStyle name="표준 2 5 3 2 2 5" xfId="1172"/>
    <cellStyle name="표준 2 5 3 2 2 5 2" xfId="8659"/>
    <cellStyle name="표준 2 5 3 2 2 5 2 2" xfId="19907"/>
    <cellStyle name="표준 2 5 3 2 2 5 3" xfId="6221"/>
    <cellStyle name="표준 2 5 3 2 2 5 3 2" xfId="17469"/>
    <cellStyle name="표준 2 5 3 2 2 5 4" xfId="3780"/>
    <cellStyle name="표준 2 5 3 2 2 5 4 2" xfId="15031"/>
    <cellStyle name="표준 2 5 3 2 2 5 5" xfId="2793"/>
    <cellStyle name="표준 2 5 3 2 2 5 5 2" xfId="14071"/>
    <cellStyle name="표준 2 5 3 2 2 5 6" xfId="12611"/>
    <cellStyle name="표준 2 5 3 2 2 6" xfId="8424"/>
    <cellStyle name="표준 2 5 3 2 2 6 2" xfId="19672"/>
    <cellStyle name="표준 2 5 3 2 2 7" xfId="5986"/>
    <cellStyle name="표준 2 5 3 2 2 7 2" xfId="17234"/>
    <cellStyle name="표준 2 5 3 2 2 8" xfId="10870"/>
    <cellStyle name="표준 2 5 3 2 2 8 2" xfId="22118"/>
    <cellStyle name="표준 2 5 3 2 2 9" xfId="3524"/>
    <cellStyle name="표준 2 5 3 2 2 9 2" xfId="14796"/>
    <cellStyle name="표준 2 5 3 2 3" xfId="238"/>
    <cellStyle name="표준 2 5 3 2 3 2" xfId="522"/>
    <cellStyle name="표준 2 5 3 2 3 2 2" xfId="1610"/>
    <cellStyle name="표준 2 5 3 2 3 2 2 2" xfId="10242"/>
    <cellStyle name="표준 2 5 3 2 3 2 2 2 2" xfId="21490"/>
    <cellStyle name="표준 2 5 3 2 3 2 2 3" xfId="7804"/>
    <cellStyle name="표준 2 5 3 2 3 2 2 3 2" xfId="19052"/>
    <cellStyle name="표준 2 5 3 2 3 2 2 4" xfId="5365"/>
    <cellStyle name="표준 2 5 3 2 3 2 2 4 2" xfId="16614"/>
    <cellStyle name="표준 2 5 3 2 3 2 2 5" xfId="3222"/>
    <cellStyle name="표준 2 5 3 2 3 2 2 5 2" xfId="14500"/>
    <cellStyle name="표준 2 5 3 2 3 2 2 6" xfId="13040"/>
    <cellStyle name="표준 2 5 3 2 3 2 3" xfId="9252"/>
    <cellStyle name="표준 2 5 3 2 3 2 3 2" xfId="20500"/>
    <cellStyle name="표준 2 5 3 2 3 2 4" xfId="6814"/>
    <cellStyle name="표준 2 5 3 2 3 2 4 2" xfId="18062"/>
    <cellStyle name="표준 2 5 3 2 3 2 5" xfId="4373"/>
    <cellStyle name="표준 2 5 3 2 3 2 5 2" xfId="15624"/>
    <cellStyle name="표준 2 5 3 2 3 2 6" xfId="2194"/>
    <cellStyle name="표준 2 5 3 2 3 2 6 2" xfId="13621"/>
    <cellStyle name="표준 2 5 3 2 3 2 7" xfId="12161"/>
    <cellStyle name="표준 2 5 3 2 3 3" xfId="1225"/>
    <cellStyle name="표준 2 5 3 2 3 3 2" xfId="9789"/>
    <cellStyle name="표준 2 5 3 2 3 3 2 2" xfId="21037"/>
    <cellStyle name="표준 2 5 3 2 3 3 3" xfId="7351"/>
    <cellStyle name="표준 2 5 3 2 3 3 3 2" xfId="18599"/>
    <cellStyle name="표준 2 5 3 2 3 3 4" xfId="4912"/>
    <cellStyle name="표준 2 5 3 2 3 3 4 2" xfId="16161"/>
    <cellStyle name="표준 2 5 3 2 3 3 5" xfId="2846"/>
    <cellStyle name="표준 2 5 3 2 3 3 5 2" xfId="14124"/>
    <cellStyle name="표준 2 5 3 2 3 3 6" xfId="12664"/>
    <cellStyle name="표준 2 5 3 2 3 4" xfId="8799"/>
    <cellStyle name="표준 2 5 3 2 3 4 2" xfId="20047"/>
    <cellStyle name="표준 2 5 3 2 3 5" xfId="6361"/>
    <cellStyle name="표준 2 5 3 2 3 5 2" xfId="17609"/>
    <cellStyle name="표준 2 5 3 2 3 6" xfId="10972"/>
    <cellStyle name="표준 2 5 3 2 3 6 2" xfId="22219"/>
    <cellStyle name="표준 2 5 3 2 3 7" xfId="3920"/>
    <cellStyle name="표준 2 5 3 2 3 7 2" xfId="15171"/>
    <cellStyle name="표준 2 5 3 2 3 8" xfId="1910"/>
    <cellStyle name="표준 2 5 3 2 3 8 2" xfId="13337"/>
    <cellStyle name="표준 2 5 3 2 3 9" xfId="11877"/>
    <cellStyle name="표준 2 5 3 2 4" xfId="412"/>
    <cellStyle name="표준 2 5 3 2 4 2" xfId="1510"/>
    <cellStyle name="표준 2 5 3 2 4 2 2" xfId="10015"/>
    <cellStyle name="표준 2 5 3 2 4 2 2 2" xfId="21263"/>
    <cellStyle name="표준 2 5 3 2 4 2 3" xfId="7577"/>
    <cellStyle name="표준 2 5 3 2 4 2 3 2" xfId="18825"/>
    <cellStyle name="표준 2 5 3 2 4 2 4" xfId="5138"/>
    <cellStyle name="표준 2 5 3 2 4 2 4 2" xfId="16387"/>
    <cellStyle name="표준 2 5 3 2 4 2 5" xfId="3122"/>
    <cellStyle name="표준 2 5 3 2 4 2 5 2" xfId="14400"/>
    <cellStyle name="표준 2 5 3 2 4 2 6" xfId="12940"/>
    <cellStyle name="표준 2 5 3 2 4 3" xfId="1115"/>
    <cellStyle name="표준 2 5 3 2 4 3 2" xfId="9025"/>
    <cellStyle name="표준 2 5 3 2 4 3 2 2" xfId="20273"/>
    <cellStyle name="표준 2 5 3 2 4 3 3" xfId="2736"/>
    <cellStyle name="표준 2 5 3 2 4 3 3 2" xfId="14014"/>
    <cellStyle name="표준 2 5 3 2 4 3 4" xfId="12554"/>
    <cellStyle name="표준 2 5 3 2 4 4" xfId="6587"/>
    <cellStyle name="표준 2 5 3 2 4 4 2" xfId="17835"/>
    <cellStyle name="표준 2 5 3 2 4 5" xfId="4146"/>
    <cellStyle name="표준 2 5 3 2 4 5 2" xfId="15397"/>
    <cellStyle name="표준 2 5 3 2 4 6" xfId="2084"/>
    <cellStyle name="표준 2 5 3 2 4 6 2" xfId="13511"/>
    <cellStyle name="표준 2 5 3 2 4 7" xfId="12051"/>
    <cellStyle name="표준 2 5 3 2 5" xfId="359"/>
    <cellStyle name="표준 2 5 3 2 5 2" xfId="1743"/>
    <cellStyle name="표준 2 5 3 2 5 2 2" xfId="10422"/>
    <cellStyle name="표준 2 5 3 2 5 2 2 2" xfId="21670"/>
    <cellStyle name="표준 2 5 3 2 5 2 3" xfId="7984"/>
    <cellStyle name="표준 2 5 3 2 5 2 3 2" xfId="19232"/>
    <cellStyle name="표준 2 5 3 2 5 2 4" xfId="5545"/>
    <cellStyle name="표준 2 5 3 2 5 2 4 2" xfId="16794"/>
    <cellStyle name="표준 2 5 3 2 5 2 5" xfId="3355"/>
    <cellStyle name="표준 2 5 3 2 5 2 5 2" xfId="14633"/>
    <cellStyle name="표준 2 5 3 2 5 2 6" xfId="13173"/>
    <cellStyle name="표준 2 5 3 2 5 3" xfId="1361"/>
    <cellStyle name="표준 2 5 3 2 5 3 2" xfId="9432"/>
    <cellStyle name="표준 2 5 3 2 5 3 2 2" xfId="20680"/>
    <cellStyle name="표준 2 5 3 2 5 3 3" xfId="2982"/>
    <cellStyle name="표준 2 5 3 2 5 3 3 2" xfId="14260"/>
    <cellStyle name="표준 2 5 3 2 5 3 4" xfId="12800"/>
    <cellStyle name="표준 2 5 3 2 5 4" xfId="6994"/>
    <cellStyle name="표준 2 5 3 2 5 4 2" xfId="18242"/>
    <cellStyle name="표준 2 5 3 2 5 5" xfId="4555"/>
    <cellStyle name="표준 2 5 3 2 5 5 2" xfId="15804"/>
    <cellStyle name="표준 2 5 3 2 5 6" xfId="2031"/>
    <cellStyle name="표준 2 5 3 2 5 6 2" xfId="13458"/>
    <cellStyle name="표준 2 5 3 2 5 7" xfId="11998"/>
    <cellStyle name="표준 2 5 3 2 6" xfId="702"/>
    <cellStyle name="표준 2 5 3 2 6 2" xfId="1451"/>
    <cellStyle name="표준 2 5 3 2 6 2 2" xfId="9563"/>
    <cellStyle name="표준 2 5 3 2 6 2 2 2" xfId="20811"/>
    <cellStyle name="표준 2 5 3 2 6 2 3" xfId="3065"/>
    <cellStyle name="표준 2 5 3 2 6 2 3 2" xfId="14343"/>
    <cellStyle name="표준 2 5 3 2 6 2 4" xfId="12883"/>
    <cellStyle name="표준 2 5 3 2 6 3" xfId="7125"/>
    <cellStyle name="표준 2 5 3 2 6 3 2" xfId="18373"/>
    <cellStyle name="표준 2 5 3 2 6 4" xfId="4686"/>
    <cellStyle name="표준 2 5 3 2 6 4 2" xfId="15935"/>
    <cellStyle name="표준 2 5 3 2 6 5" xfId="2334"/>
    <cellStyle name="표준 2 5 3 2 6 5 2" xfId="13747"/>
    <cellStyle name="표준 2 5 3 2 6 6" xfId="12287"/>
    <cellStyle name="표준 2 5 3 2 7" xfId="1062"/>
    <cellStyle name="표준 2 5 3 2 7 2" xfId="10506"/>
    <cellStyle name="표준 2 5 3 2 7 2 2" xfId="21754"/>
    <cellStyle name="표준 2 5 3 2 7 3" xfId="8068"/>
    <cellStyle name="표준 2 5 3 2 7 3 2" xfId="19316"/>
    <cellStyle name="표준 2 5 3 2 7 4" xfId="5629"/>
    <cellStyle name="표준 2 5 3 2 7 4 2" xfId="16878"/>
    <cellStyle name="표준 2 5 3 2 7 5" xfId="2683"/>
    <cellStyle name="표준 2 5 3 2 7 5 2" xfId="13961"/>
    <cellStyle name="표준 2 5 3 2 7 6" xfId="12501"/>
    <cellStyle name="표준 2 5 3 2 8" xfId="998"/>
    <cellStyle name="표준 2 5 3 2 8 2" xfId="10612"/>
    <cellStyle name="표준 2 5 3 2 8 2 2" xfId="21860"/>
    <cellStyle name="표준 2 5 3 2 8 3" xfId="8174"/>
    <cellStyle name="표준 2 5 3 2 8 3 2" xfId="19422"/>
    <cellStyle name="표준 2 5 3 2 8 4" xfId="5735"/>
    <cellStyle name="표준 2 5 3 2 8 4 2" xfId="16984"/>
    <cellStyle name="표준 2 5 3 2 8 5" xfId="2619"/>
    <cellStyle name="표준 2 5 3 2 8 5 2" xfId="13897"/>
    <cellStyle name="표준 2 5 3 2 8 6" xfId="12437"/>
    <cellStyle name="표준 2 5 3 2 9" xfId="5818"/>
    <cellStyle name="표준 2 5 3 2 9 2" xfId="10695"/>
    <cellStyle name="표준 2 5 3 2 9 2 2" xfId="21943"/>
    <cellStyle name="표준 2 5 3 2 9 3" xfId="8257"/>
    <cellStyle name="표준 2 5 3 2 9 3 2" xfId="19505"/>
    <cellStyle name="표준 2 5 3 2 9 4" xfId="17067"/>
    <cellStyle name="표준 2 5 3 3" xfId="111"/>
    <cellStyle name="표준 2 5 3 3 10" xfId="1827"/>
    <cellStyle name="표준 2 5 3 3 10 2" xfId="13256"/>
    <cellStyle name="표준 2 5 3 3 11" xfId="11796"/>
    <cellStyle name="표준 2 5 3 3 2" xfId="267"/>
    <cellStyle name="표준 2 5 3 3 2 2" xfId="551"/>
    <cellStyle name="표준 2 5 3 3 2 2 2" xfId="1639"/>
    <cellStyle name="표준 2 5 3 3 2 2 2 2" xfId="10241"/>
    <cellStyle name="표준 2 5 3 3 2 2 2 2 2" xfId="21489"/>
    <cellStyle name="표준 2 5 3 3 2 2 2 3" xfId="7803"/>
    <cellStyle name="표준 2 5 3 3 2 2 2 3 2" xfId="19051"/>
    <cellStyle name="표준 2 5 3 3 2 2 2 4" xfId="5364"/>
    <cellStyle name="표준 2 5 3 3 2 2 2 4 2" xfId="16613"/>
    <cellStyle name="표준 2 5 3 3 2 2 2 5" xfId="3251"/>
    <cellStyle name="표준 2 5 3 3 2 2 2 5 2" xfId="14529"/>
    <cellStyle name="표준 2 5 3 3 2 2 2 6" xfId="13069"/>
    <cellStyle name="표준 2 5 3 3 2 2 3" xfId="9251"/>
    <cellStyle name="표준 2 5 3 3 2 2 3 2" xfId="20499"/>
    <cellStyle name="표준 2 5 3 3 2 2 4" xfId="6813"/>
    <cellStyle name="표준 2 5 3 3 2 2 4 2" xfId="18061"/>
    <cellStyle name="표준 2 5 3 3 2 2 5" xfId="4372"/>
    <cellStyle name="표준 2 5 3 3 2 2 5 2" xfId="15623"/>
    <cellStyle name="표준 2 5 3 3 2 2 6" xfId="2223"/>
    <cellStyle name="표준 2 5 3 3 2 2 6 2" xfId="13650"/>
    <cellStyle name="표준 2 5 3 3 2 2 7" xfId="12190"/>
    <cellStyle name="표준 2 5 3 3 2 3" xfId="1254"/>
    <cellStyle name="표준 2 5 3 3 2 3 2" xfId="9788"/>
    <cellStyle name="표준 2 5 3 3 2 3 2 2" xfId="21036"/>
    <cellStyle name="표준 2 5 3 3 2 3 3" xfId="7350"/>
    <cellStyle name="표준 2 5 3 3 2 3 3 2" xfId="18598"/>
    <cellStyle name="표준 2 5 3 3 2 3 4" xfId="4911"/>
    <cellStyle name="표준 2 5 3 3 2 3 4 2" xfId="16160"/>
    <cellStyle name="표준 2 5 3 3 2 3 5" xfId="2875"/>
    <cellStyle name="표준 2 5 3 3 2 3 5 2" xfId="14153"/>
    <cellStyle name="표준 2 5 3 3 2 3 6" xfId="12693"/>
    <cellStyle name="표준 2 5 3 3 2 4" xfId="8798"/>
    <cellStyle name="표준 2 5 3 3 2 4 2" xfId="20046"/>
    <cellStyle name="표준 2 5 3 3 2 5" xfId="6360"/>
    <cellStyle name="표준 2 5 3 3 2 5 2" xfId="17608"/>
    <cellStyle name="표준 2 5 3 3 2 6" xfId="11054"/>
    <cellStyle name="표준 2 5 3 3 2 6 2" xfId="22301"/>
    <cellStyle name="표준 2 5 3 3 2 7" xfId="3919"/>
    <cellStyle name="표준 2 5 3 3 2 7 2" xfId="15170"/>
    <cellStyle name="표준 2 5 3 3 2 8" xfId="1939"/>
    <cellStyle name="표준 2 5 3 3 2 8 2" xfId="13366"/>
    <cellStyle name="표준 2 5 3 3 2 9" xfId="11906"/>
    <cellStyle name="표준 2 5 3 3 3" xfId="441"/>
    <cellStyle name="표준 2 5 3 3 3 2" xfId="1534"/>
    <cellStyle name="표준 2 5 3 3 3 2 2" xfId="10014"/>
    <cellStyle name="표준 2 5 3 3 3 2 2 2" xfId="21262"/>
    <cellStyle name="표준 2 5 3 3 3 2 3" xfId="7576"/>
    <cellStyle name="표준 2 5 3 3 3 2 3 2" xfId="18824"/>
    <cellStyle name="표준 2 5 3 3 3 2 4" xfId="5137"/>
    <cellStyle name="표준 2 5 3 3 3 2 4 2" xfId="16386"/>
    <cellStyle name="표준 2 5 3 3 3 2 5" xfId="3146"/>
    <cellStyle name="표준 2 5 3 3 3 2 5 2" xfId="14424"/>
    <cellStyle name="표준 2 5 3 3 3 2 6" xfId="12964"/>
    <cellStyle name="표준 2 5 3 3 3 3" xfId="9024"/>
    <cellStyle name="표준 2 5 3 3 3 3 2" xfId="20272"/>
    <cellStyle name="표준 2 5 3 3 3 4" xfId="6586"/>
    <cellStyle name="표준 2 5 3 3 3 4 2" xfId="17834"/>
    <cellStyle name="표준 2 5 3 3 3 5" xfId="4145"/>
    <cellStyle name="표준 2 5 3 3 3 5 2" xfId="15396"/>
    <cellStyle name="표준 2 5 3 3 3 6" xfId="2113"/>
    <cellStyle name="표준 2 5 3 3 3 6 2" xfId="13540"/>
    <cellStyle name="표준 2 5 3 3 3 7" xfId="12080"/>
    <cellStyle name="표준 2 5 3 3 4" xfId="797"/>
    <cellStyle name="표준 2 5 3 3 4 2" xfId="9562"/>
    <cellStyle name="표준 2 5 3 3 4 2 2" xfId="20810"/>
    <cellStyle name="표준 2 5 3 3 4 3" xfId="7124"/>
    <cellStyle name="표준 2 5 3 3 4 3 2" xfId="18372"/>
    <cellStyle name="표준 2 5 3 3 4 4" xfId="4685"/>
    <cellStyle name="표준 2 5 3 3 4 4 2" xfId="15934"/>
    <cellStyle name="표준 2 5 3 3 4 5" xfId="2424"/>
    <cellStyle name="표준 2 5 3 3 4 5 2" xfId="13819"/>
    <cellStyle name="표준 2 5 3 3 4 6" xfId="12359"/>
    <cellStyle name="표준 2 5 3 3 5" xfId="1144"/>
    <cellStyle name="표준 2 5 3 3 5 2" xfId="8585"/>
    <cellStyle name="표준 2 5 3 3 5 2 2" xfId="19833"/>
    <cellStyle name="표준 2 5 3 3 5 3" xfId="6147"/>
    <cellStyle name="표준 2 5 3 3 5 3 2" xfId="17395"/>
    <cellStyle name="표준 2 5 3 3 5 4" xfId="3706"/>
    <cellStyle name="표준 2 5 3 3 5 4 2" xfId="14957"/>
    <cellStyle name="표준 2 5 3 3 5 5" xfId="2765"/>
    <cellStyle name="표준 2 5 3 3 5 5 2" xfId="14043"/>
    <cellStyle name="표준 2 5 3 3 5 6" xfId="12583"/>
    <cellStyle name="표준 2 5 3 3 6" xfId="8423"/>
    <cellStyle name="표준 2 5 3 3 6 2" xfId="19671"/>
    <cellStyle name="표준 2 5 3 3 7" xfId="5985"/>
    <cellStyle name="표준 2 5 3 3 7 2" xfId="17233"/>
    <cellStyle name="표준 2 5 3 3 8" xfId="10869"/>
    <cellStyle name="표준 2 5 3 3 8 2" xfId="22117"/>
    <cellStyle name="표준 2 5 3 3 9" xfId="3523"/>
    <cellStyle name="표준 2 5 3 3 9 2" xfId="14795"/>
    <cellStyle name="표준 2 5 3 4" xfId="219"/>
    <cellStyle name="표준 2 5 3 4 10" xfId="11858"/>
    <cellStyle name="표준 2 5 3 4 2" xfId="503"/>
    <cellStyle name="표준 2 5 3 4 2 2" xfId="1591"/>
    <cellStyle name="표준 2 5 3 4 2 2 2" xfId="5450"/>
    <cellStyle name="표준 2 5 3 4 2 2 2 2" xfId="10327"/>
    <cellStyle name="표준 2 5 3 4 2 2 2 2 2" xfId="21575"/>
    <cellStyle name="표준 2 5 3 4 2 2 2 3" xfId="7889"/>
    <cellStyle name="표준 2 5 3 4 2 2 2 3 2" xfId="19137"/>
    <cellStyle name="표준 2 5 3 4 2 2 2 4" xfId="16699"/>
    <cellStyle name="표준 2 5 3 4 2 2 3" xfId="9337"/>
    <cellStyle name="표준 2 5 3 4 2 2 3 2" xfId="20585"/>
    <cellStyle name="표준 2 5 3 4 2 2 4" xfId="6899"/>
    <cellStyle name="표준 2 5 3 4 2 2 4 2" xfId="18147"/>
    <cellStyle name="표준 2 5 3 4 2 2 5" xfId="4458"/>
    <cellStyle name="표준 2 5 3 4 2 2 5 2" xfId="15709"/>
    <cellStyle name="표준 2 5 3 4 2 2 6" xfId="3203"/>
    <cellStyle name="표준 2 5 3 4 2 2 6 2" xfId="14481"/>
    <cellStyle name="표준 2 5 3 4 2 2 7" xfId="13021"/>
    <cellStyle name="표준 2 5 3 4 2 3" xfId="4997"/>
    <cellStyle name="표준 2 5 3 4 2 3 2" xfId="9874"/>
    <cellStyle name="표준 2 5 3 4 2 3 2 2" xfId="21122"/>
    <cellStyle name="표준 2 5 3 4 2 3 3" xfId="7436"/>
    <cellStyle name="표준 2 5 3 4 2 3 3 2" xfId="18684"/>
    <cellStyle name="표준 2 5 3 4 2 3 4" xfId="16246"/>
    <cellStyle name="표준 2 5 3 4 2 4" xfId="8884"/>
    <cellStyle name="표준 2 5 3 4 2 4 2" xfId="20132"/>
    <cellStyle name="표준 2 5 3 4 2 5" xfId="6446"/>
    <cellStyle name="표준 2 5 3 4 2 5 2" xfId="17694"/>
    <cellStyle name="표준 2 5 3 4 2 6" xfId="4005"/>
    <cellStyle name="표준 2 5 3 4 2 6 2" xfId="15256"/>
    <cellStyle name="표준 2 5 3 4 2 7" xfId="2175"/>
    <cellStyle name="표준 2 5 3 4 2 7 2" xfId="13602"/>
    <cellStyle name="표준 2 5 3 4 2 8" xfId="12142"/>
    <cellStyle name="표준 2 5 3 4 3" xfId="1206"/>
    <cellStyle name="표준 2 5 3 4 3 2" xfId="5223"/>
    <cellStyle name="표준 2 5 3 4 3 2 2" xfId="10100"/>
    <cellStyle name="표준 2 5 3 4 3 2 2 2" xfId="21348"/>
    <cellStyle name="표준 2 5 3 4 3 2 3" xfId="7662"/>
    <cellStyle name="표준 2 5 3 4 3 2 3 2" xfId="18910"/>
    <cellStyle name="표준 2 5 3 4 3 2 4" xfId="16472"/>
    <cellStyle name="표준 2 5 3 4 3 3" xfId="9110"/>
    <cellStyle name="표준 2 5 3 4 3 3 2" xfId="20358"/>
    <cellStyle name="표준 2 5 3 4 3 4" xfId="6672"/>
    <cellStyle name="표준 2 5 3 4 3 4 2" xfId="17920"/>
    <cellStyle name="표준 2 5 3 4 3 5" xfId="4231"/>
    <cellStyle name="표준 2 5 3 4 3 5 2" xfId="15482"/>
    <cellStyle name="표준 2 5 3 4 3 6" xfId="2827"/>
    <cellStyle name="표준 2 5 3 4 3 6 2" xfId="14105"/>
    <cellStyle name="표준 2 5 3 4 3 7" xfId="12645"/>
    <cellStyle name="표준 2 5 3 4 4" xfId="4771"/>
    <cellStyle name="표준 2 5 3 4 4 2" xfId="9648"/>
    <cellStyle name="표준 2 5 3 4 4 2 2" xfId="20896"/>
    <cellStyle name="표준 2 5 3 4 4 3" xfId="7210"/>
    <cellStyle name="표준 2 5 3 4 4 3 2" xfId="18458"/>
    <cellStyle name="표준 2 5 3 4 4 4" xfId="16020"/>
    <cellStyle name="표준 2 5 3 4 5" xfId="8658"/>
    <cellStyle name="표준 2 5 3 4 5 2" xfId="19906"/>
    <cellStyle name="표준 2 5 3 4 6" xfId="6220"/>
    <cellStyle name="표준 2 5 3 4 6 2" xfId="17468"/>
    <cellStyle name="표준 2 5 3 4 7" xfId="10971"/>
    <cellStyle name="표준 2 5 3 4 7 2" xfId="22218"/>
    <cellStyle name="표준 2 5 3 4 8" xfId="3779"/>
    <cellStyle name="표준 2 5 3 4 8 2" xfId="15030"/>
    <cellStyle name="표준 2 5 3 4 9" xfId="1891"/>
    <cellStyle name="표준 2 5 3 4 9 2" xfId="13318"/>
    <cellStyle name="표준 2 5 3 5" xfId="393"/>
    <cellStyle name="표준 2 5 3 5 2" xfId="1491"/>
    <cellStyle name="표준 2 5 3 5 2 2" xfId="10421"/>
    <cellStyle name="표준 2 5 3 5 2 2 2" xfId="21669"/>
    <cellStyle name="표준 2 5 3 5 2 3" xfId="7983"/>
    <cellStyle name="표준 2 5 3 5 2 3 2" xfId="19231"/>
    <cellStyle name="표준 2 5 3 5 2 4" xfId="5544"/>
    <cellStyle name="표준 2 5 3 5 2 4 2" xfId="16793"/>
    <cellStyle name="표준 2 5 3 5 2 5" xfId="3103"/>
    <cellStyle name="표준 2 5 3 5 2 5 2" xfId="14381"/>
    <cellStyle name="표준 2 5 3 5 2 6" xfId="12921"/>
    <cellStyle name="표준 2 5 3 5 3" xfId="1096"/>
    <cellStyle name="표준 2 5 3 5 3 2" xfId="9431"/>
    <cellStyle name="표준 2 5 3 5 3 2 2" xfId="20679"/>
    <cellStyle name="표준 2 5 3 5 3 3" xfId="2717"/>
    <cellStyle name="표준 2 5 3 5 3 3 2" xfId="13995"/>
    <cellStyle name="표준 2 5 3 5 3 4" xfId="12535"/>
    <cellStyle name="표준 2 5 3 5 4" xfId="6993"/>
    <cellStyle name="표준 2 5 3 5 4 2" xfId="18241"/>
    <cellStyle name="표준 2 5 3 5 5" xfId="4554"/>
    <cellStyle name="표준 2 5 3 5 5 2" xfId="15803"/>
    <cellStyle name="표준 2 5 3 5 6" xfId="2065"/>
    <cellStyle name="표준 2 5 3 5 6 2" xfId="13492"/>
    <cellStyle name="표준 2 5 3 5 7" xfId="12032"/>
    <cellStyle name="표준 2 5 3 6" xfId="331"/>
    <cellStyle name="표준 2 5 3 6 2" xfId="1742"/>
    <cellStyle name="표준 2 5 3 6 2 2" xfId="10505"/>
    <cellStyle name="표준 2 5 3 6 2 2 2" xfId="21753"/>
    <cellStyle name="표준 2 5 3 6 2 3" xfId="3354"/>
    <cellStyle name="표준 2 5 3 6 2 3 2" xfId="14632"/>
    <cellStyle name="표준 2 5 3 6 2 4" xfId="13172"/>
    <cellStyle name="표준 2 5 3 6 3" xfId="1360"/>
    <cellStyle name="표준 2 5 3 6 3 2" xfId="8067"/>
    <cellStyle name="표준 2 5 3 6 3 2 2" xfId="19315"/>
    <cellStyle name="표준 2 5 3 6 3 3" xfId="2981"/>
    <cellStyle name="표준 2 5 3 6 3 3 2" xfId="14259"/>
    <cellStyle name="표준 2 5 3 6 3 4" xfId="12799"/>
    <cellStyle name="표준 2 5 3 6 4" xfId="5628"/>
    <cellStyle name="표준 2 5 3 6 4 2" xfId="16877"/>
    <cellStyle name="표준 2 5 3 6 5" xfId="2003"/>
    <cellStyle name="표준 2 5 3 6 5 2" xfId="13430"/>
    <cellStyle name="표준 2 5 3 6 6" xfId="11970"/>
    <cellStyle name="표준 2 5 3 7" xfId="624"/>
    <cellStyle name="표준 2 5 3 7 2" xfId="1450"/>
    <cellStyle name="표준 2 5 3 7 2 2" xfId="10611"/>
    <cellStyle name="표준 2 5 3 7 2 2 2" xfId="21859"/>
    <cellStyle name="표준 2 5 3 7 2 3" xfId="3064"/>
    <cellStyle name="표준 2 5 3 7 2 3 2" xfId="14342"/>
    <cellStyle name="표준 2 5 3 7 2 4" xfId="12882"/>
    <cellStyle name="표준 2 5 3 7 3" xfId="8173"/>
    <cellStyle name="표준 2 5 3 7 3 2" xfId="19421"/>
    <cellStyle name="표준 2 5 3 7 4" xfId="5734"/>
    <cellStyle name="표준 2 5 3 7 4 2" xfId="16983"/>
    <cellStyle name="표준 2 5 3 7 5" xfId="2296"/>
    <cellStyle name="표준 2 5 3 7 5 2" xfId="13715"/>
    <cellStyle name="표준 2 5 3 7 6" xfId="12255"/>
    <cellStyle name="표준 2 5 3 8" xfId="1034"/>
    <cellStyle name="표준 2 5 3 8 2" xfId="5817"/>
    <cellStyle name="표준 2 5 3 8 2 2" xfId="10694"/>
    <cellStyle name="표준 2 5 3 8 2 2 2" xfId="21942"/>
    <cellStyle name="표준 2 5 3 8 2 3" xfId="8256"/>
    <cellStyle name="표준 2 5 3 8 2 3 2" xfId="19504"/>
    <cellStyle name="표준 2 5 3 8 2 4" xfId="17066"/>
    <cellStyle name="표준 2 5 3 8 3" xfId="3668"/>
    <cellStyle name="표준 2 5 3 8 4" xfId="2655"/>
    <cellStyle name="표준 2 5 3 8 4 2" xfId="13933"/>
    <cellStyle name="표준 2 5 3 8 5" xfId="12473"/>
    <cellStyle name="표준 2 5 3 9" xfId="970"/>
    <cellStyle name="표준 2 5 3 9 2" xfId="8519"/>
    <cellStyle name="표준 2 5 3 9 2 2" xfId="19767"/>
    <cellStyle name="표준 2 5 3 9 3" xfId="6081"/>
    <cellStyle name="표준 2 5 3 9 3 2" xfId="17329"/>
    <cellStyle name="표준 2 5 3 9 4" xfId="3620"/>
    <cellStyle name="표준 2 5 3 9 4 2" xfId="14891"/>
    <cellStyle name="표준 2 5 3 9 5" xfId="2592"/>
    <cellStyle name="표준 2 5 3 9 5 2" xfId="13870"/>
    <cellStyle name="표준 2 5 3 9 6" xfId="12410"/>
    <cellStyle name="표준 2 5 4" xfId="70"/>
    <cellStyle name="표준 2 5 4 10" xfId="5736"/>
    <cellStyle name="표준 2 5 4 10 2" xfId="10613"/>
    <cellStyle name="표준 2 5 4 10 2 2" xfId="21861"/>
    <cellStyle name="표준 2 5 4 10 3" xfId="8175"/>
    <cellStyle name="표준 2 5 4 10 3 2" xfId="19423"/>
    <cellStyle name="표준 2 5 4 10 4" xfId="16985"/>
    <cellStyle name="표준 2 5 4 11" xfId="5819"/>
    <cellStyle name="표준 2 5 4 11 2" xfId="10696"/>
    <cellStyle name="표준 2 5 4 11 2 2" xfId="21944"/>
    <cellStyle name="표준 2 5 4 11 3" xfId="8258"/>
    <cellStyle name="표준 2 5 4 11 3 2" xfId="19506"/>
    <cellStyle name="표준 2 5 4 11 4" xfId="17068"/>
    <cellStyle name="표준 2 5 4 12" xfId="3622"/>
    <cellStyle name="표준 2 5 4 12 2" xfId="8521"/>
    <cellStyle name="표준 2 5 4 12 2 2" xfId="19769"/>
    <cellStyle name="표준 2 5 4 12 3" xfId="6083"/>
    <cellStyle name="표준 2 5 4 12 3 2" xfId="17331"/>
    <cellStyle name="표준 2 5 4 12 4" xfId="14893"/>
    <cellStyle name="표준 2 5 4 13" xfId="8342"/>
    <cellStyle name="표준 2 5 4 13 2" xfId="19590"/>
    <cellStyle name="표준 2 5 4 14" xfId="5904"/>
    <cellStyle name="표준 2 5 4 14 2" xfId="17152"/>
    <cellStyle name="표준 2 5 4 15" xfId="10788"/>
    <cellStyle name="표준 2 5 4 15 2" xfId="22036"/>
    <cellStyle name="표준 2 5 4 16" xfId="3436"/>
    <cellStyle name="표준 2 5 4 16 2" xfId="14714"/>
    <cellStyle name="표준 2 5 4 17" xfId="1786"/>
    <cellStyle name="표준 2 5 4 17 2" xfId="13215"/>
    <cellStyle name="표준 2 5 4 18" xfId="11755"/>
    <cellStyle name="표준 2 5 4 2" xfId="194"/>
    <cellStyle name="표준 2 5 4 2 10" xfId="3623"/>
    <cellStyle name="표준 2 5 4 2 10 2" xfId="8522"/>
    <cellStyle name="표준 2 5 4 2 10 2 2" xfId="19770"/>
    <cellStyle name="표준 2 5 4 2 10 3" xfId="6084"/>
    <cellStyle name="표준 2 5 4 2 10 3 2" xfId="17332"/>
    <cellStyle name="표준 2 5 4 2 10 4" xfId="14894"/>
    <cellStyle name="표준 2 5 4 2 11" xfId="8343"/>
    <cellStyle name="표준 2 5 4 2 11 2" xfId="19591"/>
    <cellStyle name="표준 2 5 4 2 12" xfId="5905"/>
    <cellStyle name="표준 2 5 4 2 12 2" xfId="17153"/>
    <cellStyle name="표준 2 5 4 2 13" xfId="10789"/>
    <cellStyle name="표준 2 5 4 2 13 2" xfId="22037"/>
    <cellStyle name="표준 2 5 4 2 14" xfId="3437"/>
    <cellStyle name="표준 2 5 4 2 14 2" xfId="14715"/>
    <cellStyle name="표준 2 5 4 2 15" xfId="1867"/>
    <cellStyle name="표준 2 5 4 2 15 2" xfId="13294"/>
    <cellStyle name="표준 2 5 4 2 16" xfId="11834"/>
    <cellStyle name="표준 2 5 4 2 2" xfId="305"/>
    <cellStyle name="표준 2 5 4 2 2 10" xfId="1977"/>
    <cellStyle name="표준 2 5 4 2 2 10 2" xfId="13404"/>
    <cellStyle name="표준 2 5 4 2 2 11" xfId="11944"/>
    <cellStyle name="표준 2 5 4 2 2 2" xfId="589"/>
    <cellStyle name="표준 2 5 4 2 2 2 2" xfId="1677"/>
    <cellStyle name="표준 2 5 4 2 2 2 2 2" xfId="5453"/>
    <cellStyle name="표준 2 5 4 2 2 2 2 2 2" xfId="10330"/>
    <cellStyle name="표준 2 5 4 2 2 2 2 2 2 2" xfId="21578"/>
    <cellStyle name="표준 2 5 4 2 2 2 2 2 3" xfId="7892"/>
    <cellStyle name="표준 2 5 4 2 2 2 2 2 3 2" xfId="19140"/>
    <cellStyle name="표준 2 5 4 2 2 2 2 2 4" xfId="16702"/>
    <cellStyle name="표준 2 5 4 2 2 2 2 3" xfId="9340"/>
    <cellStyle name="표준 2 5 4 2 2 2 2 3 2" xfId="20588"/>
    <cellStyle name="표준 2 5 4 2 2 2 2 4" xfId="6902"/>
    <cellStyle name="표준 2 5 4 2 2 2 2 4 2" xfId="18150"/>
    <cellStyle name="표준 2 5 4 2 2 2 2 5" xfId="4461"/>
    <cellStyle name="표준 2 5 4 2 2 2 2 5 2" xfId="15712"/>
    <cellStyle name="표준 2 5 4 2 2 2 2 6" xfId="3289"/>
    <cellStyle name="표준 2 5 4 2 2 2 2 6 2" xfId="14567"/>
    <cellStyle name="표준 2 5 4 2 2 2 2 7" xfId="13107"/>
    <cellStyle name="표준 2 5 4 2 2 2 3" xfId="5000"/>
    <cellStyle name="표준 2 5 4 2 2 2 3 2" xfId="9877"/>
    <cellStyle name="표준 2 5 4 2 2 2 3 2 2" xfId="21125"/>
    <cellStyle name="표준 2 5 4 2 2 2 3 3" xfId="7439"/>
    <cellStyle name="표준 2 5 4 2 2 2 3 3 2" xfId="18687"/>
    <cellStyle name="표준 2 5 4 2 2 2 3 4" xfId="16249"/>
    <cellStyle name="표준 2 5 4 2 2 2 4" xfId="8887"/>
    <cellStyle name="표준 2 5 4 2 2 2 4 2" xfId="20135"/>
    <cellStyle name="표준 2 5 4 2 2 2 5" xfId="6449"/>
    <cellStyle name="표준 2 5 4 2 2 2 5 2" xfId="17697"/>
    <cellStyle name="표준 2 5 4 2 2 2 6" xfId="11057"/>
    <cellStyle name="표준 2 5 4 2 2 2 6 2" xfId="22304"/>
    <cellStyle name="표준 2 5 4 2 2 2 7" xfId="4008"/>
    <cellStyle name="표준 2 5 4 2 2 2 7 2" xfId="15259"/>
    <cellStyle name="표준 2 5 4 2 2 2 8" xfId="2261"/>
    <cellStyle name="표준 2 5 4 2 2 2 8 2" xfId="13688"/>
    <cellStyle name="표준 2 5 4 2 2 2 9" xfId="12228"/>
    <cellStyle name="표준 2 5 4 2 2 3" xfId="800"/>
    <cellStyle name="표준 2 5 4 2 2 3 2" xfId="5226"/>
    <cellStyle name="표준 2 5 4 2 2 3 2 2" xfId="10103"/>
    <cellStyle name="표준 2 5 4 2 2 3 2 2 2" xfId="21351"/>
    <cellStyle name="표준 2 5 4 2 2 3 2 3" xfId="7665"/>
    <cellStyle name="표준 2 5 4 2 2 3 2 3 2" xfId="18913"/>
    <cellStyle name="표준 2 5 4 2 2 3 2 4" xfId="16475"/>
    <cellStyle name="표준 2 5 4 2 2 3 3" xfId="9113"/>
    <cellStyle name="표준 2 5 4 2 2 3 3 2" xfId="20361"/>
    <cellStyle name="표준 2 5 4 2 2 3 4" xfId="6675"/>
    <cellStyle name="표준 2 5 4 2 2 3 4 2" xfId="17923"/>
    <cellStyle name="표준 2 5 4 2 2 3 5" xfId="4234"/>
    <cellStyle name="표준 2 5 4 2 2 3 5 2" xfId="15485"/>
    <cellStyle name="표준 2 5 4 2 2 3 6" xfId="2427"/>
    <cellStyle name="표준 2 5 4 2 2 3 6 2" xfId="13822"/>
    <cellStyle name="표준 2 5 4 2 2 3 7" xfId="12362"/>
    <cellStyle name="표준 2 5 4 2 2 4" xfId="1292"/>
    <cellStyle name="표준 2 5 4 2 2 4 2" xfId="9651"/>
    <cellStyle name="표준 2 5 4 2 2 4 2 2" xfId="20899"/>
    <cellStyle name="표준 2 5 4 2 2 4 3" xfId="7213"/>
    <cellStyle name="표준 2 5 4 2 2 4 3 2" xfId="18461"/>
    <cellStyle name="표준 2 5 4 2 2 4 4" xfId="4774"/>
    <cellStyle name="표준 2 5 4 2 2 4 4 2" xfId="16023"/>
    <cellStyle name="표준 2 5 4 2 2 4 5" xfId="2913"/>
    <cellStyle name="표준 2 5 4 2 2 4 5 2" xfId="14191"/>
    <cellStyle name="표준 2 5 4 2 2 4 6" xfId="12731"/>
    <cellStyle name="표준 2 5 4 2 2 5" xfId="3782"/>
    <cellStyle name="표준 2 5 4 2 2 5 2" xfId="8661"/>
    <cellStyle name="표준 2 5 4 2 2 5 2 2" xfId="19909"/>
    <cellStyle name="표준 2 5 4 2 2 5 3" xfId="6223"/>
    <cellStyle name="표준 2 5 4 2 2 5 3 2" xfId="17471"/>
    <cellStyle name="표준 2 5 4 2 2 5 4" xfId="15033"/>
    <cellStyle name="표준 2 5 4 2 2 6" xfId="8426"/>
    <cellStyle name="표준 2 5 4 2 2 6 2" xfId="19674"/>
    <cellStyle name="표준 2 5 4 2 2 7" xfId="5988"/>
    <cellStyle name="표준 2 5 4 2 2 7 2" xfId="17236"/>
    <cellStyle name="표준 2 5 4 2 2 8" xfId="10872"/>
    <cellStyle name="표준 2 5 4 2 2 8 2" xfId="22120"/>
    <cellStyle name="표준 2 5 4 2 2 9" xfId="3526"/>
    <cellStyle name="표준 2 5 4 2 2 9 2" xfId="14798"/>
    <cellStyle name="표준 2 5 4 2 3" xfId="479"/>
    <cellStyle name="표준 2 5 4 2 3 2" xfId="1572"/>
    <cellStyle name="표준 2 5 4 2 3 2 2" xfId="5367"/>
    <cellStyle name="표준 2 5 4 2 3 2 2 2" xfId="10244"/>
    <cellStyle name="표준 2 5 4 2 3 2 2 2 2" xfId="21492"/>
    <cellStyle name="표준 2 5 4 2 3 2 2 3" xfId="7806"/>
    <cellStyle name="표준 2 5 4 2 3 2 2 3 2" xfId="19054"/>
    <cellStyle name="표준 2 5 4 2 3 2 2 4" xfId="16616"/>
    <cellStyle name="표준 2 5 4 2 3 2 3" xfId="9254"/>
    <cellStyle name="표준 2 5 4 2 3 2 3 2" xfId="20502"/>
    <cellStyle name="표준 2 5 4 2 3 2 4" xfId="6816"/>
    <cellStyle name="표준 2 5 4 2 3 2 4 2" xfId="18064"/>
    <cellStyle name="표준 2 5 4 2 3 2 5" xfId="4375"/>
    <cellStyle name="표준 2 5 4 2 3 2 5 2" xfId="15626"/>
    <cellStyle name="표준 2 5 4 2 3 2 6" xfId="3184"/>
    <cellStyle name="표준 2 5 4 2 3 2 6 2" xfId="14462"/>
    <cellStyle name="표준 2 5 4 2 3 2 7" xfId="13002"/>
    <cellStyle name="표준 2 5 4 2 3 3" xfId="1182"/>
    <cellStyle name="표준 2 5 4 2 3 3 2" xfId="9791"/>
    <cellStyle name="표준 2 5 4 2 3 3 2 2" xfId="21039"/>
    <cellStyle name="표준 2 5 4 2 3 3 3" xfId="7353"/>
    <cellStyle name="표준 2 5 4 2 3 3 3 2" xfId="18601"/>
    <cellStyle name="표준 2 5 4 2 3 3 4" xfId="4914"/>
    <cellStyle name="표준 2 5 4 2 3 3 4 2" xfId="16163"/>
    <cellStyle name="표준 2 5 4 2 3 3 5" xfId="2803"/>
    <cellStyle name="표준 2 5 4 2 3 3 5 2" xfId="14081"/>
    <cellStyle name="표준 2 5 4 2 3 3 6" xfId="12621"/>
    <cellStyle name="표준 2 5 4 2 3 4" xfId="8801"/>
    <cellStyle name="표준 2 5 4 2 3 4 2" xfId="20049"/>
    <cellStyle name="표준 2 5 4 2 3 5" xfId="6363"/>
    <cellStyle name="표준 2 5 4 2 3 5 2" xfId="17611"/>
    <cellStyle name="표준 2 5 4 2 3 6" xfId="10974"/>
    <cellStyle name="표준 2 5 4 2 3 6 2" xfId="22221"/>
    <cellStyle name="표준 2 5 4 2 3 7" xfId="3922"/>
    <cellStyle name="표준 2 5 4 2 3 7 2" xfId="15173"/>
    <cellStyle name="표준 2 5 4 2 3 8" xfId="2151"/>
    <cellStyle name="표준 2 5 4 2 3 8 2" xfId="13578"/>
    <cellStyle name="표준 2 5 4 2 3 9" xfId="12118"/>
    <cellStyle name="표준 2 5 4 2 4" xfId="369"/>
    <cellStyle name="표준 2 5 4 2 4 2" xfId="1745"/>
    <cellStyle name="표준 2 5 4 2 4 2 2" xfId="10017"/>
    <cellStyle name="표준 2 5 4 2 4 2 2 2" xfId="21265"/>
    <cellStyle name="표준 2 5 4 2 4 2 3" xfId="7579"/>
    <cellStyle name="표준 2 5 4 2 4 2 3 2" xfId="18827"/>
    <cellStyle name="표준 2 5 4 2 4 2 4" xfId="5140"/>
    <cellStyle name="표준 2 5 4 2 4 2 4 2" xfId="16389"/>
    <cellStyle name="표준 2 5 4 2 4 2 5" xfId="3357"/>
    <cellStyle name="표준 2 5 4 2 4 2 5 2" xfId="14635"/>
    <cellStyle name="표준 2 5 4 2 4 2 6" xfId="13175"/>
    <cellStyle name="표준 2 5 4 2 4 3" xfId="1363"/>
    <cellStyle name="표준 2 5 4 2 4 3 2" xfId="9027"/>
    <cellStyle name="표준 2 5 4 2 4 3 2 2" xfId="20275"/>
    <cellStyle name="표준 2 5 4 2 4 3 3" xfId="2984"/>
    <cellStyle name="표준 2 5 4 2 4 3 3 2" xfId="14262"/>
    <cellStyle name="표준 2 5 4 2 4 3 4" xfId="12802"/>
    <cellStyle name="표준 2 5 4 2 4 4" xfId="6589"/>
    <cellStyle name="표준 2 5 4 2 4 4 2" xfId="17837"/>
    <cellStyle name="표준 2 5 4 2 4 5" xfId="4148"/>
    <cellStyle name="표준 2 5 4 2 4 5 2" xfId="15399"/>
    <cellStyle name="표준 2 5 4 2 4 6" xfId="2041"/>
    <cellStyle name="표준 2 5 4 2 4 6 2" xfId="13468"/>
    <cellStyle name="표준 2 5 4 2 4 7" xfId="12008"/>
    <cellStyle name="표준 2 5 4 2 5" xfId="713"/>
    <cellStyle name="표준 2 5 4 2 5 2" xfId="1453"/>
    <cellStyle name="표준 2 5 4 2 5 2 2" xfId="10424"/>
    <cellStyle name="표준 2 5 4 2 5 2 2 2" xfId="21672"/>
    <cellStyle name="표준 2 5 4 2 5 2 3" xfId="7986"/>
    <cellStyle name="표준 2 5 4 2 5 2 3 2" xfId="19234"/>
    <cellStyle name="표준 2 5 4 2 5 2 4" xfId="5547"/>
    <cellStyle name="표준 2 5 4 2 5 2 4 2" xfId="16796"/>
    <cellStyle name="표준 2 5 4 2 5 2 5" xfId="3067"/>
    <cellStyle name="표준 2 5 4 2 5 2 5 2" xfId="14345"/>
    <cellStyle name="표준 2 5 4 2 5 2 6" xfId="12885"/>
    <cellStyle name="표준 2 5 4 2 5 3" xfId="9434"/>
    <cellStyle name="표준 2 5 4 2 5 3 2" xfId="20682"/>
    <cellStyle name="표준 2 5 4 2 5 4" xfId="6996"/>
    <cellStyle name="표준 2 5 4 2 5 4 2" xfId="18244"/>
    <cellStyle name="표준 2 5 4 2 5 5" xfId="4557"/>
    <cellStyle name="표준 2 5 4 2 5 5 2" xfId="15806"/>
    <cellStyle name="표준 2 5 4 2 5 6" xfId="2345"/>
    <cellStyle name="표준 2 5 4 2 5 6 2" xfId="13758"/>
    <cellStyle name="표준 2 5 4 2 5 7" xfId="12298"/>
    <cellStyle name="표준 2 5 4 2 6" xfId="1072"/>
    <cellStyle name="표준 2 5 4 2 6 2" xfId="9565"/>
    <cellStyle name="표준 2 5 4 2 6 2 2" xfId="20813"/>
    <cellStyle name="표준 2 5 4 2 6 3" xfId="7127"/>
    <cellStyle name="표준 2 5 4 2 6 3 2" xfId="18375"/>
    <cellStyle name="표준 2 5 4 2 6 4" xfId="4688"/>
    <cellStyle name="표준 2 5 4 2 6 4 2" xfId="15937"/>
    <cellStyle name="표준 2 5 4 2 6 5" xfId="2693"/>
    <cellStyle name="표준 2 5 4 2 6 5 2" xfId="13971"/>
    <cellStyle name="표준 2 5 4 2 6 6" xfId="12511"/>
    <cellStyle name="표준 2 5 4 2 7" xfId="1008"/>
    <cellStyle name="표준 2 5 4 2 7 2" xfId="10508"/>
    <cellStyle name="표준 2 5 4 2 7 2 2" xfId="21756"/>
    <cellStyle name="표준 2 5 4 2 7 3" xfId="8070"/>
    <cellStyle name="표준 2 5 4 2 7 3 2" xfId="19318"/>
    <cellStyle name="표준 2 5 4 2 7 4" xfId="5631"/>
    <cellStyle name="표준 2 5 4 2 7 4 2" xfId="16880"/>
    <cellStyle name="표준 2 5 4 2 7 5" xfId="2629"/>
    <cellStyle name="표준 2 5 4 2 7 5 2" xfId="13907"/>
    <cellStyle name="표준 2 5 4 2 7 6" xfId="12447"/>
    <cellStyle name="표준 2 5 4 2 8" xfId="5737"/>
    <cellStyle name="표준 2 5 4 2 8 2" xfId="10614"/>
    <cellStyle name="표준 2 5 4 2 8 2 2" xfId="21862"/>
    <cellStyle name="표준 2 5 4 2 8 3" xfId="8176"/>
    <cellStyle name="표준 2 5 4 2 8 3 2" xfId="19424"/>
    <cellStyle name="표준 2 5 4 2 8 4" xfId="16986"/>
    <cellStyle name="표준 2 5 4 2 9" xfId="5820"/>
    <cellStyle name="표준 2 5 4 2 9 2" xfId="10697"/>
    <cellStyle name="표준 2 5 4 2 9 2 2" xfId="21945"/>
    <cellStyle name="표준 2 5 4 2 9 3" xfId="8259"/>
    <cellStyle name="표준 2 5 4 2 9 3 2" xfId="19507"/>
    <cellStyle name="표준 2 5 4 2 9 4" xfId="17069"/>
    <cellStyle name="표준 2 5 4 3" xfId="165"/>
    <cellStyle name="표준 2 5 4 3 10" xfId="1839"/>
    <cellStyle name="표준 2 5 4 3 10 2" xfId="13266"/>
    <cellStyle name="표준 2 5 4 3 11" xfId="11806"/>
    <cellStyle name="표준 2 5 4 3 2" xfId="277"/>
    <cellStyle name="표준 2 5 4 3 2 2" xfId="561"/>
    <cellStyle name="표준 2 5 4 3 2 2 2" xfId="1649"/>
    <cellStyle name="표준 2 5 4 3 2 2 2 2" xfId="10243"/>
    <cellStyle name="표준 2 5 4 3 2 2 2 2 2" xfId="21491"/>
    <cellStyle name="표준 2 5 4 3 2 2 2 3" xfId="7805"/>
    <cellStyle name="표준 2 5 4 3 2 2 2 3 2" xfId="19053"/>
    <cellStyle name="표준 2 5 4 3 2 2 2 4" xfId="5366"/>
    <cellStyle name="표준 2 5 4 3 2 2 2 4 2" xfId="16615"/>
    <cellStyle name="표준 2 5 4 3 2 2 2 5" xfId="3261"/>
    <cellStyle name="표준 2 5 4 3 2 2 2 5 2" xfId="14539"/>
    <cellStyle name="표준 2 5 4 3 2 2 2 6" xfId="13079"/>
    <cellStyle name="표준 2 5 4 3 2 2 3" xfId="9253"/>
    <cellStyle name="표준 2 5 4 3 2 2 3 2" xfId="20501"/>
    <cellStyle name="표준 2 5 4 3 2 2 4" xfId="6815"/>
    <cellStyle name="표준 2 5 4 3 2 2 4 2" xfId="18063"/>
    <cellStyle name="표준 2 5 4 3 2 2 5" xfId="4374"/>
    <cellStyle name="표준 2 5 4 3 2 2 5 2" xfId="15625"/>
    <cellStyle name="표준 2 5 4 3 2 2 6" xfId="2233"/>
    <cellStyle name="표준 2 5 4 3 2 2 6 2" xfId="13660"/>
    <cellStyle name="표준 2 5 4 3 2 2 7" xfId="12200"/>
    <cellStyle name="표준 2 5 4 3 2 3" xfId="1264"/>
    <cellStyle name="표준 2 5 4 3 2 3 2" xfId="9790"/>
    <cellStyle name="표준 2 5 4 3 2 3 2 2" xfId="21038"/>
    <cellStyle name="표준 2 5 4 3 2 3 3" xfId="7352"/>
    <cellStyle name="표준 2 5 4 3 2 3 3 2" xfId="18600"/>
    <cellStyle name="표준 2 5 4 3 2 3 4" xfId="4913"/>
    <cellStyle name="표준 2 5 4 3 2 3 4 2" xfId="16162"/>
    <cellStyle name="표준 2 5 4 3 2 3 5" xfId="2885"/>
    <cellStyle name="표준 2 5 4 3 2 3 5 2" xfId="14163"/>
    <cellStyle name="표준 2 5 4 3 2 3 6" xfId="12703"/>
    <cellStyle name="표준 2 5 4 3 2 4" xfId="8800"/>
    <cellStyle name="표준 2 5 4 3 2 4 2" xfId="20048"/>
    <cellStyle name="표준 2 5 4 3 2 5" xfId="6362"/>
    <cellStyle name="표준 2 5 4 3 2 5 2" xfId="17610"/>
    <cellStyle name="표준 2 5 4 3 2 6" xfId="11056"/>
    <cellStyle name="표준 2 5 4 3 2 6 2" xfId="22303"/>
    <cellStyle name="표준 2 5 4 3 2 7" xfId="3921"/>
    <cellStyle name="표준 2 5 4 3 2 7 2" xfId="15172"/>
    <cellStyle name="표준 2 5 4 3 2 8" xfId="1949"/>
    <cellStyle name="표준 2 5 4 3 2 8 2" xfId="13376"/>
    <cellStyle name="표준 2 5 4 3 2 9" xfId="11916"/>
    <cellStyle name="표준 2 5 4 3 3" xfId="451"/>
    <cellStyle name="표준 2 5 4 3 3 2" xfId="1544"/>
    <cellStyle name="표준 2 5 4 3 3 2 2" xfId="10016"/>
    <cellStyle name="표준 2 5 4 3 3 2 2 2" xfId="21264"/>
    <cellStyle name="표준 2 5 4 3 3 2 3" xfId="7578"/>
    <cellStyle name="표준 2 5 4 3 3 2 3 2" xfId="18826"/>
    <cellStyle name="표준 2 5 4 3 3 2 4" xfId="5139"/>
    <cellStyle name="표준 2 5 4 3 3 2 4 2" xfId="16388"/>
    <cellStyle name="표준 2 5 4 3 3 2 5" xfId="3156"/>
    <cellStyle name="표준 2 5 4 3 3 2 5 2" xfId="14434"/>
    <cellStyle name="표준 2 5 4 3 3 2 6" xfId="12974"/>
    <cellStyle name="표준 2 5 4 3 3 3" xfId="9026"/>
    <cellStyle name="표준 2 5 4 3 3 3 2" xfId="20274"/>
    <cellStyle name="표준 2 5 4 3 3 4" xfId="6588"/>
    <cellStyle name="표준 2 5 4 3 3 4 2" xfId="17836"/>
    <cellStyle name="표준 2 5 4 3 3 5" xfId="4147"/>
    <cellStyle name="표준 2 5 4 3 3 5 2" xfId="15398"/>
    <cellStyle name="표준 2 5 4 3 3 6" xfId="2123"/>
    <cellStyle name="표준 2 5 4 3 3 6 2" xfId="13550"/>
    <cellStyle name="표준 2 5 4 3 3 7" xfId="12090"/>
    <cellStyle name="표준 2 5 4 3 4" xfId="799"/>
    <cellStyle name="표준 2 5 4 3 4 2" xfId="9564"/>
    <cellStyle name="표준 2 5 4 3 4 2 2" xfId="20812"/>
    <cellStyle name="표준 2 5 4 3 4 3" xfId="7126"/>
    <cellStyle name="표준 2 5 4 3 4 3 2" xfId="18374"/>
    <cellStyle name="표준 2 5 4 3 4 4" xfId="4687"/>
    <cellStyle name="표준 2 5 4 3 4 4 2" xfId="15936"/>
    <cellStyle name="표준 2 5 4 3 4 5" xfId="2426"/>
    <cellStyle name="표준 2 5 4 3 4 5 2" xfId="13821"/>
    <cellStyle name="표준 2 5 4 3 4 6" xfId="12361"/>
    <cellStyle name="표준 2 5 4 3 5" xfId="1154"/>
    <cellStyle name="표준 2 5 4 3 5 2" xfId="8586"/>
    <cellStyle name="표준 2 5 4 3 5 2 2" xfId="19834"/>
    <cellStyle name="표준 2 5 4 3 5 3" xfId="6148"/>
    <cellStyle name="표준 2 5 4 3 5 3 2" xfId="17396"/>
    <cellStyle name="표준 2 5 4 3 5 4" xfId="3707"/>
    <cellStyle name="표준 2 5 4 3 5 4 2" xfId="14958"/>
    <cellStyle name="표준 2 5 4 3 5 5" xfId="2775"/>
    <cellStyle name="표준 2 5 4 3 5 5 2" xfId="14053"/>
    <cellStyle name="표준 2 5 4 3 5 6" xfId="12593"/>
    <cellStyle name="표준 2 5 4 3 6" xfId="8425"/>
    <cellStyle name="표준 2 5 4 3 6 2" xfId="19673"/>
    <cellStyle name="표준 2 5 4 3 7" xfId="5987"/>
    <cellStyle name="표준 2 5 4 3 7 2" xfId="17235"/>
    <cellStyle name="표준 2 5 4 3 8" xfId="10871"/>
    <cellStyle name="표준 2 5 4 3 8 2" xfId="22119"/>
    <cellStyle name="표준 2 5 4 3 9" xfId="3525"/>
    <cellStyle name="표준 2 5 4 3 9 2" xfId="14797"/>
    <cellStyle name="표준 2 5 4 4" xfId="226"/>
    <cellStyle name="표준 2 5 4 4 10" xfId="11865"/>
    <cellStyle name="표준 2 5 4 4 2" xfId="510"/>
    <cellStyle name="표준 2 5 4 4 2 2" xfId="1598"/>
    <cellStyle name="표준 2 5 4 4 2 2 2" xfId="5452"/>
    <cellStyle name="표준 2 5 4 4 2 2 2 2" xfId="10329"/>
    <cellStyle name="표준 2 5 4 4 2 2 2 2 2" xfId="21577"/>
    <cellStyle name="표준 2 5 4 4 2 2 2 3" xfId="7891"/>
    <cellStyle name="표준 2 5 4 4 2 2 2 3 2" xfId="19139"/>
    <cellStyle name="표준 2 5 4 4 2 2 2 4" xfId="16701"/>
    <cellStyle name="표준 2 5 4 4 2 2 3" xfId="9339"/>
    <cellStyle name="표준 2 5 4 4 2 2 3 2" xfId="20587"/>
    <cellStyle name="표준 2 5 4 4 2 2 4" xfId="6901"/>
    <cellStyle name="표준 2 5 4 4 2 2 4 2" xfId="18149"/>
    <cellStyle name="표준 2 5 4 4 2 2 5" xfId="4460"/>
    <cellStyle name="표준 2 5 4 4 2 2 5 2" xfId="15711"/>
    <cellStyle name="표준 2 5 4 4 2 2 6" xfId="3210"/>
    <cellStyle name="표준 2 5 4 4 2 2 6 2" xfId="14488"/>
    <cellStyle name="표준 2 5 4 4 2 2 7" xfId="13028"/>
    <cellStyle name="표준 2 5 4 4 2 3" xfId="4999"/>
    <cellStyle name="표준 2 5 4 4 2 3 2" xfId="9876"/>
    <cellStyle name="표준 2 5 4 4 2 3 2 2" xfId="21124"/>
    <cellStyle name="표준 2 5 4 4 2 3 3" xfId="7438"/>
    <cellStyle name="표준 2 5 4 4 2 3 3 2" xfId="18686"/>
    <cellStyle name="표준 2 5 4 4 2 3 4" xfId="16248"/>
    <cellStyle name="표준 2 5 4 4 2 4" xfId="8886"/>
    <cellStyle name="표준 2 5 4 4 2 4 2" xfId="20134"/>
    <cellStyle name="표준 2 5 4 4 2 5" xfId="6448"/>
    <cellStyle name="표준 2 5 4 4 2 5 2" xfId="17696"/>
    <cellStyle name="표준 2 5 4 4 2 6" xfId="4007"/>
    <cellStyle name="표준 2 5 4 4 2 6 2" xfId="15258"/>
    <cellStyle name="표준 2 5 4 4 2 7" xfId="2182"/>
    <cellStyle name="표준 2 5 4 4 2 7 2" xfId="13609"/>
    <cellStyle name="표준 2 5 4 4 2 8" xfId="12149"/>
    <cellStyle name="표준 2 5 4 4 3" xfId="1213"/>
    <cellStyle name="표준 2 5 4 4 3 2" xfId="5225"/>
    <cellStyle name="표준 2 5 4 4 3 2 2" xfId="10102"/>
    <cellStyle name="표준 2 5 4 4 3 2 2 2" xfId="21350"/>
    <cellStyle name="표준 2 5 4 4 3 2 3" xfId="7664"/>
    <cellStyle name="표준 2 5 4 4 3 2 3 2" xfId="18912"/>
    <cellStyle name="표준 2 5 4 4 3 2 4" xfId="16474"/>
    <cellStyle name="표준 2 5 4 4 3 3" xfId="9112"/>
    <cellStyle name="표준 2 5 4 4 3 3 2" xfId="20360"/>
    <cellStyle name="표준 2 5 4 4 3 4" xfId="6674"/>
    <cellStyle name="표준 2 5 4 4 3 4 2" xfId="17922"/>
    <cellStyle name="표준 2 5 4 4 3 5" xfId="4233"/>
    <cellStyle name="표준 2 5 4 4 3 5 2" xfId="15484"/>
    <cellStyle name="표준 2 5 4 4 3 6" xfId="2834"/>
    <cellStyle name="표준 2 5 4 4 3 6 2" xfId="14112"/>
    <cellStyle name="표준 2 5 4 4 3 7" xfId="12652"/>
    <cellStyle name="표준 2 5 4 4 4" xfId="4773"/>
    <cellStyle name="표준 2 5 4 4 4 2" xfId="9650"/>
    <cellStyle name="표준 2 5 4 4 4 2 2" xfId="20898"/>
    <cellStyle name="표준 2 5 4 4 4 3" xfId="7212"/>
    <cellStyle name="표준 2 5 4 4 4 3 2" xfId="18460"/>
    <cellStyle name="표준 2 5 4 4 4 4" xfId="16022"/>
    <cellStyle name="표준 2 5 4 4 5" xfId="8660"/>
    <cellStyle name="표준 2 5 4 4 5 2" xfId="19908"/>
    <cellStyle name="표준 2 5 4 4 6" xfId="6222"/>
    <cellStyle name="표준 2 5 4 4 6 2" xfId="17470"/>
    <cellStyle name="표준 2 5 4 4 7" xfId="10973"/>
    <cellStyle name="표준 2 5 4 4 7 2" xfId="22220"/>
    <cellStyle name="표준 2 5 4 4 8" xfId="3781"/>
    <cellStyle name="표준 2 5 4 4 8 2" xfId="15032"/>
    <cellStyle name="표준 2 5 4 4 9" xfId="1898"/>
    <cellStyle name="표준 2 5 4 4 9 2" xfId="13325"/>
    <cellStyle name="표준 2 5 4 5" xfId="400"/>
    <cellStyle name="표준 2 5 4 5 2" xfId="1498"/>
    <cellStyle name="표준 2 5 4 5 2 2" xfId="5284"/>
    <cellStyle name="표준 2 5 4 5 2 2 2" xfId="10161"/>
    <cellStyle name="표준 2 5 4 5 2 2 2 2" xfId="21409"/>
    <cellStyle name="표준 2 5 4 5 2 2 3" xfId="7723"/>
    <cellStyle name="표준 2 5 4 5 2 2 3 2" xfId="18971"/>
    <cellStyle name="표준 2 5 4 5 2 2 4" xfId="16533"/>
    <cellStyle name="표준 2 5 4 5 2 3" xfId="9171"/>
    <cellStyle name="표준 2 5 4 5 2 3 2" xfId="20419"/>
    <cellStyle name="표준 2 5 4 5 2 4" xfId="6733"/>
    <cellStyle name="표준 2 5 4 5 2 4 2" xfId="17981"/>
    <cellStyle name="표준 2 5 4 5 2 5" xfId="4292"/>
    <cellStyle name="표준 2 5 4 5 2 5 2" xfId="15543"/>
    <cellStyle name="표준 2 5 4 5 2 6" xfId="3110"/>
    <cellStyle name="표준 2 5 4 5 2 6 2" xfId="14388"/>
    <cellStyle name="표준 2 5 4 5 2 7" xfId="12928"/>
    <cellStyle name="표준 2 5 4 5 3" xfId="1103"/>
    <cellStyle name="표준 2 5 4 5 3 2" xfId="9708"/>
    <cellStyle name="표준 2 5 4 5 3 2 2" xfId="20956"/>
    <cellStyle name="표준 2 5 4 5 3 3" xfId="7270"/>
    <cellStyle name="표준 2 5 4 5 3 3 2" xfId="18518"/>
    <cellStyle name="표준 2 5 4 5 3 4" xfId="4831"/>
    <cellStyle name="표준 2 5 4 5 3 4 2" xfId="16080"/>
    <cellStyle name="표준 2 5 4 5 3 5" xfId="2724"/>
    <cellStyle name="표준 2 5 4 5 3 5 2" xfId="14002"/>
    <cellStyle name="표준 2 5 4 5 3 6" xfId="12542"/>
    <cellStyle name="표준 2 5 4 5 4" xfId="8718"/>
    <cellStyle name="표준 2 5 4 5 4 2" xfId="19966"/>
    <cellStyle name="표준 2 5 4 5 5" xfId="6280"/>
    <cellStyle name="표준 2 5 4 5 5 2" xfId="17528"/>
    <cellStyle name="표준 2 5 4 5 6" xfId="3839"/>
    <cellStyle name="표준 2 5 4 5 6 2" xfId="15090"/>
    <cellStyle name="표준 2 5 4 5 7" xfId="2072"/>
    <cellStyle name="표준 2 5 4 5 7 2" xfId="13499"/>
    <cellStyle name="표준 2 5 4 5 8" xfId="12039"/>
    <cellStyle name="표준 2 5 4 6" xfId="341"/>
    <cellStyle name="표준 2 5 4 6 2" xfId="1744"/>
    <cellStyle name="표준 2 5 4 6 2 2" xfId="9934"/>
    <cellStyle name="표준 2 5 4 6 2 2 2" xfId="21182"/>
    <cellStyle name="표준 2 5 4 6 2 3" xfId="7496"/>
    <cellStyle name="표준 2 5 4 6 2 3 2" xfId="18744"/>
    <cellStyle name="표준 2 5 4 6 2 4" xfId="5057"/>
    <cellStyle name="표준 2 5 4 6 2 4 2" xfId="16306"/>
    <cellStyle name="표준 2 5 4 6 2 5" xfId="3356"/>
    <cellStyle name="표준 2 5 4 6 2 5 2" xfId="14634"/>
    <cellStyle name="표준 2 5 4 6 2 6" xfId="13174"/>
    <cellStyle name="표준 2 5 4 6 3" xfId="1362"/>
    <cellStyle name="표준 2 5 4 6 3 2" xfId="8944"/>
    <cellStyle name="표준 2 5 4 6 3 2 2" xfId="20192"/>
    <cellStyle name="표준 2 5 4 6 3 3" xfId="2983"/>
    <cellStyle name="표준 2 5 4 6 3 3 2" xfId="14261"/>
    <cellStyle name="표준 2 5 4 6 3 4" xfId="12801"/>
    <cellStyle name="표준 2 5 4 6 4" xfId="6506"/>
    <cellStyle name="표준 2 5 4 6 4 2" xfId="17754"/>
    <cellStyle name="표준 2 5 4 6 5" xfId="4065"/>
    <cellStyle name="표준 2 5 4 6 5 2" xfId="15316"/>
    <cellStyle name="표준 2 5 4 6 6" xfId="2013"/>
    <cellStyle name="표준 2 5 4 6 6 2" xfId="13440"/>
    <cellStyle name="표준 2 5 4 6 7" xfId="11980"/>
    <cellStyle name="표준 2 5 4 7" xfId="640"/>
    <cellStyle name="표준 2 5 4 7 2" xfId="1452"/>
    <cellStyle name="표준 2 5 4 7 2 2" xfId="10423"/>
    <cellStyle name="표준 2 5 4 7 2 2 2" xfId="21671"/>
    <cellStyle name="표준 2 5 4 7 2 3" xfId="7985"/>
    <cellStyle name="표준 2 5 4 7 2 3 2" xfId="19233"/>
    <cellStyle name="표준 2 5 4 7 2 4" xfId="5546"/>
    <cellStyle name="표준 2 5 4 7 2 4 2" xfId="16795"/>
    <cellStyle name="표준 2 5 4 7 2 5" xfId="3066"/>
    <cellStyle name="표준 2 5 4 7 2 5 2" xfId="14344"/>
    <cellStyle name="표준 2 5 4 7 2 6" xfId="12884"/>
    <cellStyle name="표준 2 5 4 7 3" xfId="9433"/>
    <cellStyle name="표준 2 5 4 7 3 2" xfId="20681"/>
    <cellStyle name="표준 2 5 4 7 4" xfId="6995"/>
    <cellStyle name="표준 2 5 4 7 4 2" xfId="18243"/>
    <cellStyle name="표준 2 5 4 7 5" xfId="4556"/>
    <cellStyle name="표준 2 5 4 7 5 2" xfId="15805"/>
    <cellStyle name="표준 2 5 4 7 6" xfId="2311"/>
    <cellStyle name="표준 2 5 4 7 6 2" xfId="13726"/>
    <cellStyle name="표준 2 5 4 7 7" xfId="12266"/>
    <cellStyle name="표준 2 5 4 8" xfId="1044"/>
    <cellStyle name="표준 2 5 4 8 2" xfId="9482"/>
    <cellStyle name="표준 2 5 4 8 2 2" xfId="20730"/>
    <cellStyle name="표준 2 5 4 8 3" xfId="7044"/>
    <cellStyle name="표준 2 5 4 8 3 2" xfId="18292"/>
    <cellStyle name="표준 2 5 4 8 4" xfId="4605"/>
    <cellStyle name="표준 2 5 4 8 4 2" xfId="15854"/>
    <cellStyle name="표준 2 5 4 8 5" xfId="2665"/>
    <cellStyle name="표준 2 5 4 8 5 2" xfId="13943"/>
    <cellStyle name="표준 2 5 4 8 6" xfId="12483"/>
    <cellStyle name="표준 2 5 4 9" xfId="981"/>
    <cellStyle name="표준 2 5 4 9 2" xfId="10507"/>
    <cellStyle name="표준 2 5 4 9 2 2" xfId="21755"/>
    <cellStyle name="표준 2 5 4 9 3" xfId="8069"/>
    <cellStyle name="표준 2 5 4 9 3 2" xfId="19317"/>
    <cellStyle name="표준 2 5 4 9 4" xfId="5630"/>
    <cellStyle name="표준 2 5 4 9 4 2" xfId="16879"/>
    <cellStyle name="표준 2 5 4 9 5" xfId="2602"/>
    <cellStyle name="표준 2 5 4 9 5 2" xfId="13880"/>
    <cellStyle name="표준 2 5 4 9 6" xfId="12420"/>
    <cellStyle name="표준 2 5 5" xfId="89"/>
    <cellStyle name="표준 2 5 5 10" xfId="3624"/>
    <cellStyle name="표준 2 5 5 10 2" xfId="8523"/>
    <cellStyle name="표준 2 5 5 10 2 2" xfId="19771"/>
    <cellStyle name="표준 2 5 5 10 3" xfId="6085"/>
    <cellStyle name="표준 2 5 5 10 3 2" xfId="17333"/>
    <cellStyle name="표준 2 5 5 10 4" xfId="14895"/>
    <cellStyle name="표준 2 5 5 11" xfId="8344"/>
    <cellStyle name="표준 2 5 5 11 2" xfId="19592"/>
    <cellStyle name="표준 2 5 5 12" xfId="5906"/>
    <cellStyle name="표준 2 5 5 12 2" xfId="17154"/>
    <cellStyle name="표준 2 5 5 13" xfId="10790"/>
    <cellStyle name="표준 2 5 5 13 2" xfId="22038"/>
    <cellStyle name="표준 2 5 5 14" xfId="3438"/>
    <cellStyle name="표준 2 5 5 14 2" xfId="14716"/>
    <cellStyle name="표준 2 5 5 15" xfId="1805"/>
    <cellStyle name="표준 2 5 5 15 2" xfId="13234"/>
    <cellStyle name="표준 2 5 5 16" xfId="11774"/>
    <cellStyle name="표준 2 5 5 2" xfId="171"/>
    <cellStyle name="표준 2 5 5 2 10" xfId="1845"/>
    <cellStyle name="표준 2 5 5 2 10 2" xfId="13272"/>
    <cellStyle name="표준 2 5 5 2 11" xfId="11812"/>
    <cellStyle name="표준 2 5 5 2 2" xfId="283"/>
    <cellStyle name="표준 2 5 5 2 2 2" xfId="567"/>
    <cellStyle name="표준 2 5 5 2 2 2 2" xfId="1655"/>
    <cellStyle name="표준 2 5 5 2 2 2 2 2" xfId="10331"/>
    <cellStyle name="표준 2 5 5 2 2 2 2 2 2" xfId="21579"/>
    <cellStyle name="표준 2 5 5 2 2 2 2 3" xfId="7893"/>
    <cellStyle name="표준 2 5 5 2 2 2 2 3 2" xfId="19141"/>
    <cellStyle name="표준 2 5 5 2 2 2 2 4" xfId="5454"/>
    <cellStyle name="표준 2 5 5 2 2 2 2 4 2" xfId="16703"/>
    <cellStyle name="표준 2 5 5 2 2 2 2 5" xfId="3267"/>
    <cellStyle name="표준 2 5 5 2 2 2 2 5 2" xfId="14545"/>
    <cellStyle name="표준 2 5 5 2 2 2 2 6" xfId="13085"/>
    <cellStyle name="표준 2 5 5 2 2 2 3" xfId="9341"/>
    <cellStyle name="표준 2 5 5 2 2 2 3 2" xfId="20589"/>
    <cellStyle name="표준 2 5 5 2 2 2 4" xfId="6903"/>
    <cellStyle name="표준 2 5 5 2 2 2 4 2" xfId="18151"/>
    <cellStyle name="표준 2 5 5 2 2 2 5" xfId="4462"/>
    <cellStyle name="표준 2 5 5 2 2 2 5 2" xfId="15713"/>
    <cellStyle name="표준 2 5 5 2 2 2 6" xfId="2239"/>
    <cellStyle name="표준 2 5 5 2 2 2 6 2" xfId="13666"/>
    <cellStyle name="표준 2 5 5 2 2 2 7" xfId="12206"/>
    <cellStyle name="표준 2 5 5 2 2 3" xfId="1270"/>
    <cellStyle name="표준 2 5 5 2 2 3 2" xfId="9878"/>
    <cellStyle name="표준 2 5 5 2 2 3 2 2" xfId="21126"/>
    <cellStyle name="표준 2 5 5 2 2 3 3" xfId="7440"/>
    <cellStyle name="표준 2 5 5 2 2 3 3 2" xfId="18688"/>
    <cellStyle name="표준 2 5 5 2 2 3 4" xfId="5001"/>
    <cellStyle name="표준 2 5 5 2 2 3 4 2" xfId="16250"/>
    <cellStyle name="표준 2 5 5 2 2 3 5" xfId="2891"/>
    <cellStyle name="표준 2 5 5 2 2 3 5 2" xfId="14169"/>
    <cellStyle name="표준 2 5 5 2 2 3 6" xfId="12709"/>
    <cellStyle name="표준 2 5 5 2 2 4" xfId="8888"/>
    <cellStyle name="표준 2 5 5 2 2 4 2" xfId="20136"/>
    <cellStyle name="표준 2 5 5 2 2 5" xfId="6450"/>
    <cellStyle name="표준 2 5 5 2 2 5 2" xfId="17698"/>
    <cellStyle name="표준 2 5 5 2 2 6" xfId="11058"/>
    <cellStyle name="표준 2 5 5 2 2 6 2" xfId="22305"/>
    <cellStyle name="표준 2 5 5 2 2 7" xfId="4009"/>
    <cellStyle name="표준 2 5 5 2 2 7 2" xfId="15260"/>
    <cellStyle name="표준 2 5 5 2 2 8" xfId="1955"/>
    <cellStyle name="표준 2 5 5 2 2 8 2" xfId="13382"/>
    <cellStyle name="표준 2 5 5 2 2 9" xfId="11922"/>
    <cellStyle name="표준 2 5 5 2 3" xfId="457"/>
    <cellStyle name="표준 2 5 5 2 3 2" xfId="1550"/>
    <cellStyle name="표준 2 5 5 2 3 2 2" xfId="10104"/>
    <cellStyle name="표준 2 5 5 2 3 2 2 2" xfId="21352"/>
    <cellStyle name="표준 2 5 5 2 3 2 3" xfId="7666"/>
    <cellStyle name="표준 2 5 5 2 3 2 3 2" xfId="18914"/>
    <cellStyle name="표준 2 5 5 2 3 2 4" xfId="5227"/>
    <cellStyle name="표준 2 5 5 2 3 2 4 2" xfId="16476"/>
    <cellStyle name="표준 2 5 5 2 3 2 5" xfId="3162"/>
    <cellStyle name="표준 2 5 5 2 3 2 5 2" xfId="14440"/>
    <cellStyle name="표준 2 5 5 2 3 2 6" xfId="12980"/>
    <cellStyle name="표준 2 5 5 2 3 3" xfId="9114"/>
    <cellStyle name="표준 2 5 5 2 3 3 2" xfId="20362"/>
    <cellStyle name="표준 2 5 5 2 3 4" xfId="6676"/>
    <cellStyle name="표준 2 5 5 2 3 4 2" xfId="17924"/>
    <cellStyle name="표준 2 5 5 2 3 5" xfId="4235"/>
    <cellStyle name="표준 2 5 5 2 3 5 2" xfId="15486"/>
    <cellStyle name="표준 2 5 5 2 3 6" xfId="2129"/>
    <cellStyle name="표준 2 5 5 2 3 6 2" xfId="13556"/>
    <cellStyle name="표준 2 5 5 2 3 7" xfId="12096"/>
    <cellStyle name="표준 2 5 5 2 4" xfId="801"/>
    <cellStyle name="표준 2 5 5 2 4 2" xfId="9652"/>
    <cellStyle name="표준 2 5 5 2 4 2 2" xfId="20900"/>
    <cellStyle name="표준 2 5 5 2 4 3" xfId="7214"/>
    <cellStyle name="표준 2 5 5 2 4 3 2" xfId="18462"/>
    <cellStyle name="표준 2 5 5 2 4 4" xfId="4775"/>
    <cellStyle name="표준 2 5 5 2 4 4 2" xfId="16024"/>
    <cellStyle name="표준 2 5 5 2 4 5" xfId="2428"/>
    <cellStyle name="표준 2 5 5 2 4 5 2" xfId="13823"/>
    <cellStyle name="표준 2 5 5 2 4 6" xfId="12363"/>
    <cellStyle name="표준 2 5 5 2 5" xfId="1160"/>
    <cellStyle name="표준 2 5 5 2 5 2" xfId="8662"/>
    <cellStyle name="표준 2 5 5 2 5 2 2" xfId="19910"/>
    <cellStyle name="표준 2 5 5 2 5 3" xfId="6224"/>
    <cellStyle name="표준 2 5 5 2 5 3 2" xfId="17472"/>
    <cellStyle name="표준 2 5 5 2 5 4" xfId="3783"/>
    <cellStyle name="표준 2 5 5 2 5 4 2" xfId="15034"/>
    <cellStyle name="표준 2 5 5 2 5 5" xfId="2781"/>
    <cellStyle name="표준 2 5 5 2 5 5 2" xfId="14059"/>
    <cellStyle name="표준 2 5 5 2 5 6" xfId="12599"/>
    <cellStyle name="표준 2 5 5 2 6" xfId="8427"/>
    <cellStyle name="표준 2 5 5 2 6 2" xfId="19675"/>
    <cellStyle name="표준 2 5 5 2 7" xfId="5989"/>
    <cellStyle name="표준 2 5 5 2 7 2" xfId="17237"/>
    <cellStyle name="표준 2 5 5 2 8" xfId="10873"/>
    <cellStyle name="표준 2 5 5 2 8 2" xfId="22121"/>
    <cellStyle name="표준 2 5 5 2 9" xfId="3527"/>
    <cellStyle name="표준 2 5 5 2 9 2" xfId="14799"/>
    <cellStyle name="표준 2 5 5 3" xfId="245"/>
    <cellStyle name="표준 2 5 5 3 2" xfId="529"/>
    <cellStyle name="표준 2 5 5 3 2 2" xfId="1617"/>
    <cellStyle name="표준 2 5 5 3 2 2 2" xfId="10245"/>
    <cellStyle name="표준 2 5 5 3 2 2 2 2" xfId="21493"/>
    <cellStyle name="표준 2 5 5 3 2 2 3" xfId="7807"/>
    <cellStyle name="표준 2 5 5 3 2 2 3 2" xfId="19055"/>
    <cellStyle name="표준 2 5 5 3 2 2 4" xfId="5368"/>
    <cellStyle name="표준 2 5 5 3 2 2 4 2" xfId="16617"/>
    <cellStyle name="표준 2 5 5 3 2 2 5" xfId="3229"/>
    <cellStyle name="표준 2 5 5 3 2 2 5 2" xfId="14507"/>
    <cellStyle name="표준 2 5 5 3 2 2 6" xfId="13047"/>
    <cellStyle name="표준 2 5 5 3 2 3" xfId="9255"/>
    <cellStyle name="표준 2 5 5 3 2 3 2" xfId="20503"/>
    <cellStyle name="표준 2 5 5 3 2 4" xfId="6817"/>
    <cellStyle name="표준 2 5 5 3 2 4 2" xfId="18065"/>
    <cellStyle name="표준 2 5 5 3 2 5" xfId="4376"/>
    <cellStyle name="표준 2 5 5 3 2 5 2" xfId="15627"/>
    <cellStyle name="표준 2 5 5 3 2 6" xfId="2201"/>
    <cellStyle name="표준 2 5 5 3 2 6 2" xfId="13628"/>
    <cellStyle name="표준 2 5 5 3 2 7" xfId="12168"/>
    <cellStyle name="표준 2 5 5 3 3" xfId="1232"/>
    <cellStyle name="표준 2 5 5 3 3 2" xfId="9792"/>
    <cellStyle name="표준 2 5 5 3 3 2 2" xfId="21040"/>
    <cellStyle name="표준 2 5 5 3 3 3" xfId="7354"/>
    <cellStyle name="표준 2 5 5 3 3 3 2" xfId="18602"/>
    <cellStyle name="표준 2 5 5 3 3 4" xfId="4915"/>
    <cellStyle name="표준 2 5 5 3 3 4 2" xfId="16164"/>
    <cellStyle name="표준 2 5 5 3 3 5" xfId="2853"/>
    <cellStyle name="표준 2 5 5 3 3 5 2" xfId="14131"/>
    <cellStyle name="표준 2 5 5 3 3 6" xfId="12671"/>
    <cellStyle name="표준 2 5 5 3 4" xfId="8802"/>
    <cellStyle name="표준 2 5 5 3 4 2" xfId="20050"/>
    <cellStyle name="표준 2 5 5 3 5" xfId="6364"/>
    <cellStyle name="표준 2 5 5 3 5 2" xfId="17612"/>
    <cellStyle name="표준 2 5 5 3 6" xfId="10975"/>
    <cellStyle name="표준 2 5 5 3 6 2" xfId="22222"/>
    <cellStyle name="표준 2 5 5 3 7" xfId="3923"/>
    <cellStyle name="표준 2 5 5 3 7 2" xfId="15174"/>
    <cellStyle name="표준 2 5 5 3 8" xfId="1917"/>
    <cellStyle name="표준 2 5 5 3 8 2" xfId="13344"/>
    <cellStyle name="표준 2 5 5 3 9" xfId="11884"/>
    <cellStyle name="표준 2 5 5 4" xfId="419"/>
    <cellStyle name="표준 2 5 5 4 2" xfId="1517"/>
    <cellStyle name="표준 2 5 5 4 2 2" xfId="10018"/>
    <cellStyle name="표준 2 5 5 4 2 2 2" xfId="21266"/>
    <cellStyle name="표준 2 5 5 4 2 3" xfId="7580"/>
    <cellStyle name="표준 2 5 5 4 2 3 2" xfId="18828"/>
    <cellStyle name="표준 2 5 5 4 2 4" xfId="5141"/>
    <cellStyle name="표준 2 5 5 4 2 4 2" xfId="16390"/>
    <cellStyle name="표준 2 5 5 4 2 5" xfId="3129"/>
    <cellStyle name="표준 2 5 5 4 2 5 2" xfId="14407"/>
    <cellStyle name="표준 2 5 5 4 2 6" xfId="12947"/>
    <cellStyle name="표준 2 5 5 4 3" xfId="1122"/>
    <cellStyle name="표준 2 5 5 4 3 2" xfId="9028"/>
    <cellStyle name="표준 2 5 5 4 3 2 2" xfId="20276"/>
    <cellStyle name="표준 2 5 5 4 3 3" xfId="2743"/>
    <cellStyle name="표준 2 5 5 4 3 3 2" xfId="14021"/>
    <cellStyle name="표준 2 5 5 4 3 4" xfId="12561"/>
    <cellStyle name="표준 2 5 5 4 4" xfId="6590"/>
    <cellStyle name="표준 2 5 5 4 4 2" xfId="17838"/>
    <cellStyle name="표준 2 5 5 4 5" xfId="4149"/>
    <cellStyle name="표준 2 5 5 4 5 2" xfId="15400"/>
    <cellStyle name="표준 2 5 5 4 6" xfId="2091"/>
    <cellStyle name="표준 2 5 5 4 6 2" xfId="13518"/>
    <cellStyle name="표준 2 5 5 4 7" xfId="12058"/>
    <cellStyle name="표준 2 5 5 5" xfId="347"/>
    <cellStyle name="표준 2 5 5 5 2" xfId="1746"/>
    <cellStyle name="표준 2 5 5 5 2 2" xfId="10425"/>
    <cellStyle name="표준 2 5 5 5 2 2 2" xfId="21673"/>
    <cellStyle name="표준 2 5 5 5 2 3" xfId="7987"/>
    <cellStyle name="표준 2 5 5 5 2 3 2" xfId="19235"/>
    <cellStyle name="표준 2 5 5 5 2 4" xfId="5548"/>
    <cellStyle name="표준 2 5 5 5 2 4 2" xfId="16797"/>
    <cellStyle name="표준 2 5 5 5 2 5" xfId="3358"/>
    <cellStyle name="표준 2 5 5 5 2 5 2" xfId="14636"/>
    <cellStyle name="표준 2 5 5 5 2 6" xfId="13176"/>
    <cellStyle name="표준 2 5 5 5 3" xfId="1364"/>
    <cellStyle name="표준 2 5 5 5 3 2" xfId="9435"/>
    <cellStyle name="표준 2 5 5 5 3 2 2" xfId="20683"/>
    <cellStyle name="표준 2 5 5 5 3 3" xfId="2985"/>
    <cellStyle name="표준 2 5 5 5 3 3 2" xfId="14263"/>
    <cellStyle name="표준 2 5 5 5 3 4" xfId="12803"/>
    <cellStyle name="표준 2 5 5 5 4" xfId="6997"/>
    <cellStyle name="표준 2 5 5 5 4 2" xfId="18245"/>
    <cellStyle name="표준 2 5 5 5 5" xfId="4558"/>
    <cellStyle name="표준 2 5 5 5 5 2" xfId="15807"/>
    <cellStyle name="표준 2 5 5 5 6" xfId="2019"/>
    <cellStyle name="표준 2 5 5 5 6 2" xfId="13446"/>
    <cellStyle name="표준 2 5 5 5 7" xfId="11986"/>
    <cellStyle name="표준 2 5 5 6" xfId="688"/>
    <cellStyle name="표준 2 5 5 6 2" xfId="1454"/>
    <cellStyle name="표준 2 5 5 6 2 2" xfId="9566"/>
    <cellStyle name="표준 2 5 5 6 2 2 2" xfId="20814"/>
    <cellStyle name="표준 2 5 5 6 2 3" xfId="3068"/>
    <cellStyle name="표준 2 5 5 6 2 3 2" xfId="14346"/>
    <cellStyle name="표준 2 5 5 6 2 4" xfId="12886"/>
    <cellStyle name="표준 2 5 5 6 3" xfId="7128"/>
    <cellStyle name="표준 2 5 5 6 3 2" xfId="18376"/>
    <cellStyle name="표준 2 5 5 6 4" xfId="4689"/>
    <cellStyle name="표준 2 5 5 6 4 2" xfId="15938"/>
    <cellStyle name="표준 2 5 5 6 5" xfId="2320"/>
    <cellStyle name="표준 2 5 5 6 5 2" xfId="13733"/>
    <cellStyle name="표준 2 5 5 6 6" xfId="12273"/>
    <cellStyle name="표준 2 5 5 7" xfId="1050"/>
    <cellStyle name="표준 2 5 5 7 2" xfId="10509"/>
    <cellStyle name="표준 2 5 5 7 2 2" xfId="21757"/>
    <cellStyle name="표준 2 5 5 7 3" xfId="8071"/>
    <cellStyle name="표준 2 5 5 7 3 2" xfId="19319"/>
    <cellStyle name="표준 2 5 5 7 4" xfId="5632"/>
    <cellStyle name="표준 2 5 5 7 4 2" xfId="16881"/>
    <cellStyle name="표준 2 5 5 7 5" xfId="2671"/>
    <cellStyle name="표준 2 5 5 7 5 2" xfId="13949"/>
    <cellStyle name="표준 2 5 5 7 6" xfId="12489"/>
    <cellStyle name="표준 2 5 5 8" xfId="986"/>
    <cellStyle name="표준 2 5 5 8 2" xfId="10615"/>
    <cellStyle name="표준 2 5 5 8 2 2" xfId="21863"/>
    <cellStyle name="표준 2 5 5 8 3" xfId="8177"/>
    <cellStyle name="표준 2 5 5 8 3 2" xfId="19425"/>
    <cellStyle name="표준 2 5 5 8 4" xfId="5738"/>
    <cellStyle name="표준 2 5 5 8 4 2" xfId="16987"/>
    <cellStyle name="표준 2 5 5 8 5" xfId="2607"/>
    <cellStyle name="표준 2 5 5 8 5 2" xfId="13885"/>
    <cellStyle name="표준 2 5 5 8 6" xfId="12425"/>
    <cellStyle name="표준 2 5 5 9" xfId="5821"/>
    <cellStyle name="표준 2 5 5 9 2" xfId="10698"/>
    <cellStyle name="표준 2 5 5 9 2 2" xfId="21946"/>
    <cellStyle name="표준 2 5 5 9 3" xfId="8260"/>
    <cellStyle name="표준 2 5 5 9 3 2" xfId="19508"/>
    <cellStyle name="표준 2 5 5 9 4" xfId="17070"/>
    <cellStyle name="표준 2 5 6" xfId="197"/>
    <cellStyle name="표준 2 5 6 10" xfId="3625"/>
    <cellStyle name="표준 2 5 6 10 2" xfId="8524"/>
    <cellStyle name="표준 2 5 6 10 2 2" xfId="19772"/>
    <cellStyle name="표준 2 5 6 10 3" xfId="6086"/>
    <cellStyle name="표준 2 5 6 10 3 2" xfId="17334"/>
    <cellStyle name="표준 2 5 6 10 4" xfId="14896"/>
    <cellStyle name="표준 2 5 6 11" xfId="8345"/>
    <cellStyle name="표준 2 5 6 11 2" xfId="19593"/>
    <cellStyle name="표준 2 5 6 12" xfId="5907"/>
    <cellStyle name="표준 2 5 6 12 2" xfId="17155"/>
    <cellStyle name="표준 2 5 6 13" xfId="10791"/>
    <cellStyle name="표준 2 5 6 13 2" xfId="22039"/>
    <cellStyle name="표준 2 5 6 14" xfId="3439"/>
    <cellStyle name="표준 2 5 6 14 2" xfId="14717"/>
    <cellStyle name="표준 2 5 6 15" xfId="1870"/>
    <cellStyle name="표준 2 5 6 15 2" xfId="13297"/>
    <cellStyle name="표준 2 5 6 16" xfId="11837"/>
    <cellStyle name="표준 2 5 6 2" xfId="308"/>
    <cellStyle name="표준 2 5 6 2 10" xfId="1980"/>
    <cellStyle name="표준 2 5 6 2 10 2" xfId="13407"/>
    <cellStyle name="표준 2 5 6 2 11" xfId="11947"/>
    <cellStyle name="표준 2 5 6 2 2" xfId="592"/>
    <cellStyle name="표준 2 5 6 2 2 2" xfId="1680"/>
    <cellStyle name="표준 2 5 6 2 2 2 2" xfId="5455"/>
    <cellStyle name="표준 2 5 6 2 2 2 2 2" xfId="10332"/>
    <cellStyle name="표준 2 5 6 2 2 2 2 2 2" xfId="21580"/>
    <cellStyle name="표준 2 5 6 2 2 2 2 3" xfId="7894"/>
    <cellStyle name="표준 2 5 6 2 2 2 2 3 2" xfId="19142"/>
    <cellStyle name="표준 2 5 6 2 2 2 2 4" xfId="16704"/>
    <cellStyle name="표준 2 5 6 2 2 2 3" xfId="9342"/>
    <cellStyle name="표준 2 5 6 2 2 2 3 2" xfId="20590"/>
    <cellStyle name="표준 2 5 6 2 2 2 4" xfId="6904"/>
    <cellStyle name="표준 2 5 6 2 2 2 4 2" xfId="18152"/>
    <cellStyle name="표준 2 5 6 2 2 2 5" xfId="4463"/>
    <cellStyle name="표준 2 5 6 2 2 2 5 2" xfId="15714"/>
    <cellStyle name="표준 2 5 6 2 2 2 6" xfId="3292"/>
    <cellStyle name="표준 2 5 6 2 2 2 6 2" xfId="14570"/>
    <cellStyle name="표준 2 5 6 2 2 2 7" xfId="13110"/>
    <cellStyle name="표준 2 5 6 2 2 3" xfId="5002"/>
    <cellStyle name="표준 2 5 6 2 2 3 2" xfId="9879"/>
    <cellStyle name="표준 2 5 6 2 2 3 2 2" xfId="21127"/>
    <cellStyle name="표준 2 5 6 2 2 3 3" xfId="7441"/>
    <cellStyle name="표준 2 5 6 2 2 3 3 2" xfId="18689"/>
    <cellStyle name="표준 2 5 6 2 2 3 4" xfId="16251"/>
    <cellStyle name="표준 2 5 6 2 2 4" xfId="8889"/>
    <cellStyle name="표준 2 5 6 2 2 4 2" xfId="20137"/>
    <cellStyle name="표준 2 5 6 2 2 5" xfId="6451"/>
    <cellStyle name="표준 2 5 6 2 2 5 2" xfId="17699"/>
    <cellStyle name="표준 2 5 6 2 2 6" xfId="11059"/>
    <cellStyle name="표준 2 5 6 2 2 6 2" xfId="22306"/>
    <cellStyle name="표준 2 5 6 2 2 7" xfId="4010"/>
    <cellStyle name="표준 2 5 6 2 2 7 2" xfId="15261"/>
    <cellStyle name="표준 2 5 6 2 2 8" xfId="2264"/>
    <cellStyle name="표준 2 5 6 2 2 8 2" xfId="13691"/>
    <cellStyle name="표준 2 5 6 2 2 9" xfId="12231"/>
    <cellStyle name="표준 2 5 6 2 3" xfId="1295"/>
    <cellStyle name="표준 2 5 6 2 3 2" xfId="5228"/>
    <cellStyle name="표준 2 5 6 2 3 2 2" xfId="10105"/>
    <cellStyle name="표준 2 5 6 2 3 2 2 2" xfId="21353"/>
    <cellStyle name="표준 2 5 6 2 3 2 3" xfId="7667"/>
    <cellStyle name="표준 2 5 6 2 3 2 3 2" xfId="18915"/>
    <cellStyle name="표준 2 5 6 2 3 2 4" xfId="16477"/>
    <cellStyle name="표준 2 5 6 2 3 3" xfId="9115"/>
    <cellStyle name="표준 2 5 6 2 3 3 2" xfId="20363"/>
    <cellStyle name="표준 2 5 6 2 3 4" xfId="6677"/>
    <cellStyle name="표준 2 5 6 2 3 4 2" xfId="17925"/>
    <cellStyle name="표준 2 5 6 2 3 5" xfId="4236"/>
    <cellStyle name="표준 2 5 6 2 3 5 2" xfId="15487"/>
    <cellStyle name="표준 2 5 6 2 3 6" xfId="2916"/>
    <cellStyle name="표준 2 5 6 2 3 6 2" xfId="14194"/>
    <cellStyle name="표준 2 5 6 2 3 7" xfId="12734"/>
    <cellStyle name="표준 2 5 6 2 4" xfId="4776"/>
    <cellStyle name="표준 2 5 6 2 4 2" xfId="9653"/>
    <cellStyle name="표준 2 5 6 2 4 2 2" xfId="20901"/>
    <cellStyle name="표준 2 5 6 2 4 3" xfId="7215"/>
    <cellStyle name="표준 2 5 6 2 4 3 2" xfId="18463"/>
    <cellStyle name="표준 2 5 6 2 4 4" xfId="16025"/>
    <cellStyle name="표준 2 5 6 2 5" xfId="3784"/>
    <cellStyle name="표준 2 5 6 2 5 2" xfId="8663"/>
    <cellStyle name="표준 2 5 6 2 5 2 2" xfId="19911"/>
    <cellStyle name="표준 2 5 6 2 5 3" xfId="6225"/>
    <cellStyle name="표준 2 5 6 2 5 3 2" xfId="17473"/>
    <cellStyle name="표준 2 5 6 2 5 4" xfId="15035"/>
    <cellStyle name="표준 2 5 6 2 6" xfId="8428"/>
    <cellStyle name="표준 2 5 6 2 6 2" xfId="19676"/>
    <cellStyle name="표준 2 5 6 2 7" xfId="5990"/>
    <cellStyle name="표준 2 5 6 2 7 2" xfId="17238"/>
    <cellStyle name="표준 2 5 6 2 8" xfId="10874"/>
    <cellStyle name="표준 2 5 6 2 8 2" xfId="22122"/>
    <cellStyle name="표준 2 5 6 2 9" xfId="3528"/>
    <cellStyle name="표준 2 5 6 2 9 2" xfId="14800"/>
    <cellStyle name="표준 2 5 6 3" xfId="482"/>
    <cellStyle name="표준 2 5 6 3 2" xfId="1575"/>
    <cellStyle name="표준 2 5 6 3 2 2" xfId="5369"/>
    <cellStyle name="표준 2 5 6 3 2 2 2" xfId="10246"/>
    <cellStyle name="표준 2 5 6 3 2 2 2 2" xfId="21494"/>
    <cellStyle name="표준 2 5 6 3 2 2 3" xfId="7808"/>
    <cellStyle name="표준 2 5 6 3 2 2 3 2" xfId="19056"/>
    <cellStyle name="표준 2 5 6 3 2 2 4" xfId="16618"/>
    <cellStyle name="표준 2 5 6 3 2 3" xfId="9256"/>
    <cellStyle name="표준 2 5 6 3 2 3 2" xfId="20504"/>
    <cellStyle name="표준 2 5 6 3 2 4" xfId="6818"/>
    <cellStyle name="표준 2 5 6 3 2 4 2" xfId="18066"/>
    <cellStyle name="표준 2 5 6 3 2 5" xfId="4377"/>
    <cellStyle name="표준 2 5 6 3 2 5 2" xfId="15628"/>
    <cellStyle name="표준 2 5 6 3 2 6" xfId="3187"/>
    <cellStyle name="표준 2 5 6 3 2 6 2" xfId="14465"/>
    <cellStyle name="표준 2 5 6 3 2 7" xfId="13005"/>
    <cellStyle name="표준 2 5 6 3 3" xfId="1185"/>
    <cellStyle name="표준 2 5 6 3 3 2" xfId="9793"/>
    <cellStyle name="표준 2 5 6 3 3 2 2" xfId="21041"/>
    <cellStyle name="표준 2 5 6 3 3 3" xfId="7355"/>
    <cellStyle name="표준 2 5 6 3 3 3 2" xfId="18603"/>
    <cellStyle name="표준 2 5 6 3 3 4" xfId="4916"/>
    <cellStyle name="표준 2 5 6 3 3 4 2" xfId="16165"/>
    <cellStyle name="표준 2 5 6 3 3 5" xfId="2806"/>
    <cellStyle name="표준 2 5 6 3 3 5 2" xfId="14084"/>
    <cellStyle name="표준 2 5 6 3 3 6" xfId="12624"/>
    <cellStyle name="표준 2 5 6 3 4" xfId="8803"/>
    <cellStyle name="표준 2 5 6 3 4 2" xfId="20051"/>
    <cellStyle name="표준 2 5 6 3 5" xfId="6365"/>
    <cellStyle name="표준 2 5 6 3 5 2" xfId="17613"/>
    <cellStyle name="표준 2 5 6 3 6" xfId="10976"/>
    <cellStyle name="표준 2 5 6 3 6 2" xfId="22223"/>
    <cellStyle name="표준 2 5 6 3 7" xfId="3924"/>
    <cellStyle name="표준 2 5 6 3 7 2" xfId="15175"/>
    <cellStyle name="표준 2 5 6 3 8" xfId="2154"/>
    <cellStyle name="표준 2 5 6 3 8 2" xfId="13581"/>
    <cellStyle name="표준 2 5 6 3 9" xfId="12121"/>
    <cellStyle name="표준 2 5 6 4" xfId="372"/>
    <cellStyle name="표준 2 5 6 4 2" xfId="1747"/>
    <cellStyle name="표준 2 5 6 4 2 2" xfId="10019"/>
    <cellStyle name="표준 2 5 6 4 2 2 2" xfId="21267"/>
    <cellStyle name="표준 2 5 6 4 2 3" xfId="7581"/>
    <cellStyle name="표준 2 5 6 4 2 3 2" xfId="18829"/>
    <cellStyle name="표준 2 5 6 4 2 4" xfId="5142"/>
    <cellStyle name="표준 2 5 6 4 2 4 2" xfId="16391"/>
    <cellStyle name="표준 2 5 6 4 2 5" xfId="3359"/>
    <cellStyle name="표준 2 5 6 4 2 5 2" xfId="14637"/>
    <cellStyle name="표준 2 5 6 4 2 6" xfId="13177"/>
    <cellStyle name="표준 2 5 6 4 3" xfId="1365"/>
    <cellStyle name="표준 2 5 6 4 3 2" xfId="9029"/>
    <cellStyle name="표준 2 5 6 4 3 2 2" xfId="20277"/>
    <cellStyle name="표준 2 5 6 4 3 3" xfId="2986"/>
    <cellStyle name="표준 2 5 6 4 3 3 2" xfId="14264"/>
    <cellStyle name="표준 2 5 6 4 3 4" xfId="12804"/>
    <cellStyle name="표준 2 5 6 4 4" xfId="6591"/>
    <cellStyle name="표준 2 5 6 4 4 2" xfId="17839"/>
    <cellStyle name="표준 2 5 6 4 5" xfId="4150"/>
    <cellStyle name="표준 2 5 6 4 5 2" xfId="15401"/>
    <cellStyle name="표준 2 5 6 4 6" xfId="2044"/>
    <cellStyle name="표준 2 5 6 4 6 2" xfId="13471"/>
    <cellStyle name="표준 2 5 6 4 7" xfId="12011"/>
    <cellStyle name="표준 2 5 6 5" xfId="802"/>
    <cellStyle name="표준 2 5 6 5 2" xfId="1455"/>
    <cellStyle name="표준 2 5 6 5 2 2" xfId="10426"/>
    <cellStyle name="표준 2 5 6 5 2 2 2" xfId="21674"/>
    <cellStyle name="표준 2 5 6 5 2 3" xfId="7988"/>
    <cellStyle name="표준 2 5 6 5 2 3 2" xfId="19236"/>
    <cellStyle name="표준 2 5 6 5 2 4" xfId="5549"/>
    <cellStyle name="표준 2 5 6 5 2 4 2" xfId="16798"/>
    <cellStyle name="표준 2 5 6 5 2 5" xfId="3069"/>
    <cellStyle name="표준 2 5 6 5 2 5 2" xfId="14347"/>
    <cellStyle name="표준 2 5 6 5 2 6" xfId="12887"/>
    <cellStyle name="표준 2 5 6 5 3" xfId="9436"/>
    <cellStyle name="표준 2 5 6 5 3 2" xfId="20684"/>
    <cellStyle name="표준 2 5 6 5 4" xfId="6998"/>
    <cellStyle name="표준 2 5 6 5 4 2" xfId="18246"/>
    <cellStyle name="표준 2 5 6 5 5" xfId="4559"/>
    <cellStyle name="표준 2 5 6 5 5 2" xfId="15808"/>
    <cellStyle name="표준 2 5 6 5 6" xfId="2429"/>
    <cellStyle name="표준 2 5 6 5 6 2" xfId="13824"/>
    <cellStyle name="표준 2 5 6 5 7" xfId="12364"/>
    <cellStyle name="표준 2 5 6 6" xfId="1075"/>
    <cellStyle name="표준 2 5 6 6 2" xfId="9567"/>
    <cellStyle name="표준 2 5 6 6 2 2" xfId="20815"/>
    <cellStyle name="표준 2 5 6 6 3" xfId="7129"/>
    <cellStyle name="표준 2 5 6 6 3 2" xfId="18377"/>
    <cellStyle name="표준 2 5 6 6 4" xfId="4690"/>
    <cellStyle name="표준 2 5 6 6 4 2" xfId="15939"/>
    <cellStyle name="표준 2 5 6 6 5" xfId="2696"/>
    <cellStyle name="표준 2 5 6 6 5 2" xfId="13974"/>
    <cellStyle name="표준 2 5 6 6 6" xfId="12514"/>
    <cellStyle name="표준 2 5 6 7" xfId="1011"/>
    <cellStyle name="표준 2 5 6 7 2" xfId="10510"/>
    <cellStyle name="표준 2 5 6 7 2 2" xfId="21758"/>
    <cellStyle name="표준 2 5 6 7 3" xfId="8072"/>
    <cellStyle name="표준 2 5 6 7 3 2" xfId="19320"/>
    <cellStyle name="표준 2 5 6 7 4" xfId="5633"/>
    <cellStyle name="표준 2 5 6 7 4 2" xfId="16882"/>
    <cellStyle name="표준 2 5 6 7 5" xfId="2632"/>
    <cellStyle name="표준 2 5 6 7 5 2" xfId="13910"/>
    <cellStyle name="표준 2 5 6 7 6" xfId="12450"/>
    <cellStyle name="표준 2 5 6 8" xfId="5739"/>
    <cellStyle name="표준 2 5 6 8 2" xfId="10616"/>
    <cellStyle name="표준 2 5 6 8 2 2" xfId="21864"/>
    <cellStyle name="표준 2 5 6 8 3" xfId="8178"/>
    <cellStyle name="표준 2 5 6 8 3 2" xfId="19426"/>
    <cellStyle name="표준 2 5 6 8 4" xfId="16988"/>
    <cellStyle name="표준 2 5 6 9" xfId="5822"/>
    <cellStyle name="표준 2 5 6 9 2" xfId="10699"/>
    <cellStyle name="표준 2 5 6 9 2 2" xfId="21947"/>
    <cellStyle name="표준 2 5 6 9 3" xfId="8261"/>
    <cellStyle name="표준 2 5 6 9 3 2" xfId="19509"/>
    <cellStyle name="표준 2 5 6 9 4" xfId="17071"/>
    <cellStyle name="표준 2 5 7" xfId="97"/>
    <cellStyle name="표준 2 5 7 10" xfId="3617"/>
    <cellStyle name="표준 2 5 7 10 2" xfId="8516"/>
    <cellStyle name="표준 2 5 7 10 2 2" xfId="19764"/>
    <cellStyle name="표준 2 5 7 10 3" xfId="6078"/>
    <cellStyle name="표준 2 5 7 10 3 2" xfId="17326"/>
    <cellStyle name="표준 2 5 7 10 4" xfId="14888"/>
    <cellStyle name="표준 2 5 7 11" xfId="8337"/>
    <cellStyle name="표준 2 5 7 11 2" xfId="19585"/>
    <cellStyle name="표준 2 5 7 12" xfId="5899"/>
    <cellStyle name="표준 2 5 7 12 2" xfId="17147"/>
    <cellStyle name="표준 2 5 7 13" xfId="10783"/>
    <cellStyle name="표준 2 5 7 13 2" xfId="22031"/>
    <cellStyle name="표준 2 5 7 14" xfId="3431"/>
    <cellStyle name="표준 2 5 7 14 2" xfId="14709"/>
    <cellStyle name="표준 2 5 7 15" xfId="1813"/>
    <cellStyle name="표준 2 5 7 15 2" xfId="13242"/>
    <cellStyle name="표준 2 5 7 16" xfId="11782"/>
    <cellStyle name="표준 2 5 7 2" xfId="253"/>
    <cellStyle name="표준 2 5 7 2 10" xfId="1925"/>
    <cellStyle name="표준 2 5 7 2 10 2" xfId="13352"/>
    <cellStyle name="표준 2 5 7 2 11" xfId="11892"/>
    <cellStyle name="표준 2 5 7 2 2" xfId="537"/>
    <cellStyle name="표준 2 5 7 2 2 2" xfId="1625"/>
    <cellStyle name="표준 2 5 7 2 2 2 2" xfId="5447"/>
    <cellStyle name="표준 2 5 7 2 2 2 2 2" xfId="10324"/>
    <cellStyle name="표준 2 5 7 2 2 2 2 2 2" xfId="21572"/>
    <cellStyle name="표준 2 5 7 2 2 2 2 3" xfId="7886"/>
    <cellStyle name="표준 2 5 7 2 2 2 2 3 2" xfId="19134"/>
    <cellStyle name="표준 2 5 7 2 2 2 2 4" xfId="16696"/>
    <cellStyle name="표준 2 5 7 2 2 2 3" xfId="9334"/>
    <cellStyle name="표준 2 5 7 2 2 2 3 2" xfId="20582"/>
    <cellStyle name="표준 2 5 7 2 2 2 4" xfId="6896"/>
    <cellStyle name="표준 2 5 7 2 2 2 4 2" xfId="18144"/>
    <cellStyle name="표준 2 5 7 2 2 2 5" xfId="4455"/>
    <cellStyle name="표준 2 5 7 2 2 2 5 2" xfId="15706"/>
    <cellStyle name="표준 2 5 7 2 2 2 6" xfId="3237"/>
    <cellStyle name="표준 2 5 7 2 2 2 6 2" xfId="14515"/>
    <cellStyle name="표준 2 5 7 2 2 2 7" xfId="13055"/>
    <cellStyle name="표준 2 5 7 2 2 3" xfId="4994"/>
    <cellStyle name="표준 2 5 7 2 2 3 2" xfId="9871"/>
    <cellStyle name="표준 2 5 7 2 2 3 2 2" xfId="21119"/>
    <cellStyle name="표준 2 5 7 2 2 3 3" xfId="7433"/>
    <cellStyle name="표준 2 5 7 2 2 3 3 2" xfId="18681"/>
    <cellStyle name="표준 2 5 7 2 2 3 4" xfId="16243"/>
    <cellStyle name="표준 2 5 7 2 2 4" xfId="8881"/>
    <cellStyle name="표준 2 5 7 2 2 4 2" xfId="20129"/>
    <cellStyle name="표준 2 5 7 2 2 5" xfId="6443"/>
    <cellStyle name="표준 2 5 7 2 2 5 2" xfId="17691"/>
    <cellStyle name="표준 2 5 7 2 2 6" xfId="11051"/>
    <cellStyle name="표준 2 5 7 2 2 6 2" xfId="22298"/>
    <cellStyle name="표준 2 5 7 2 2 7" xfId="4002"/>
    <cellStyle name="표준 2 5 7 2 2 7 2" xfId="15253"/>
    <cellStyle name="표준 2 5 7 2 2 8" xfId="2209"/>
    <cellStyle name="표준 2 5 7 2 2 8 2" xfId="13636"/>
    <cellStyle name="표준 2 5 7 2 2 9" xfId="12176"/>
    <cellStyle name="표준 2 5 7 2 3" xfId="1240"/>
    <cellStyle name="표준 2 5 7 2 3 2" xfId="5220"/>
    <cellStyle name="표준 2 5 7 2 3 2 2" xfId="10097"/>
    <cellStyle name="표준 2 5 7 2 3 2 2 2" xfId="21345"/>
    <cellStyle name="표준 2 5 7 2 3 2 3" xfId="7659"/>
    <cellStyle name="표준 2 5 7 2 3 2 3 2" xfId="18907"/>
    <cellStyle name="표준 2 5 7 2 3 2 4" xfId="16469"/>
    <cellStyle name="표준 2 5 7 2 3 3" xfId="9107"/>
    <cellStyle name="표준 2 5 7 2 3 3 2" xfId="20355"/>
    <cellStyle name="표준 2 5 7 2 3 4" xfId="6669"/>
    <cellStyle name="표준 2 5 7 2 3 4 2" xfId="17917"/>
    <cellStyle name="표준 2 5 7 2 3 5" xfId="4228"/>
    <cellStyle name="표준 2 5 7 2 3 5 2" xfId="15479"/>
    <cellStyle name="표준 2 5 7 2 3 6" xfId="2861"/>
    <cellStyle name="표준 2 5 7 2 3 6 2" xfId="14139"/>
    <cellStyle name="표준 2 5 7 2 3 7" xfId="12679"/>
    <cellStyle name="표준 2 5 7 2 4" xfId="4768"/>
    <cellStyle name="표준 2 5 7 2 4 2" xfId="9645"/>
    <cellStyle name="표준 2 5 7 2 4 2 2" xfId="20893"/>
    <cellStyle name="표준 2 5 7 2 4 3" xfId="7207"/>
    <cellStyle name="표준 2 5 7 2 4 3 2" xfId="18455"/>
    <cellStyle name="표준 2 5 7 2 4 4" xfId="16017"/>
    <cellStyle name="표준 2 5 7 2 5" xfId="3776"/>
    <cellStyle name="표준 2 5 7 2 5 2" xfId="8655"/>
    <cellStyle name="표준 2 5 7 2 5 2 2" xfId="19903"/>
    <cellStyle name="표준 2 5 7 2 5 3" xfId="6217"/>
    <cellStyle name="표준 2 5 7 2 5 3 2" xfId="17465"/>
    <cellStyle name="표준 2 5 7 2 5 4" xfId="15027"/>
    <cellStyle name="표준 2 5 7 2 6" xfId="8420"/>
    <cellStyle name="표준 2 5 7 2 6 2" xfId="19668"/>
    <cellStyle name="표준 2 5 7 2 7" xfId="5982"/>
    <cellStyle name="표준 2 5 7 2 7 2" xfId="17230"/>
    <cellStyle name="표준 2 5 7 2 8" xfId="10866"/>
    <cellStyle name="표준 2 5 7 2 8 2" xfId="22114"/>
    <cellStyle name="표준 2 5 7 2 9" xfId="3520"/>
    <cellStyle name="표준 2 5 7 2 9 2" xfId="14792"/>
    <cellStyle name="표준 2 5 7 3" xfId="427"/>
    <cellStyle name="표준 2 5 7 3 2" xfId="1739"/>
    <cellStyle name="표준 2 5 7 3 2 2" xfId="5361"/>
    <cellStyle name="표준 2 5 7 3 2 2 2" xfId="10238"/>
    <cellStyle name="표준 2 5 7 3 2 2 2 2" xfId="21486"/>
    <cellStyle name="표준 2 5 7 3 2 2 3" xfId="7800"/>
    <cellStyle name="표준 2 5 7 3 2 2 3 2" xfId="19048"/>
    <cellStyle name="표준 2 5 7 3 2 2 4" xfId="16610"/>
    <cellStyle name="표준 2 5 7 3 2 3" xfId="9248"/>
    <cellStyle name="표준 2 5 7 3 2 3 2" xfId="20496"/>
    <cellStyle name="표준 2 5 7 3 2 4" xfId="6810"/>
    <cellStyle name="표준 2 5 7 3 2 4 2" xfId="18058"/>
    <cellStyle name="표준 2 5 7 3 2 5" xfId="4369"/>
    <cellStyle name="표준 2 5 7 3 2 5 2" xfId="15620"/>
    <cellStyle name="표준 2 5 7 3 2 6" xfId="3351"/>
    <cellStyle name="표준 2 5 7 3 2 6 2" xfId="14629"/>
    <cellStyle name="표준 2 5 7 3 2 7" xfId="13169"/>
    <cellStyle name="표준 2 5 7 3 3" xfId="1357"/>
    <cellStyle name="표준 2 5 7 3 3 2" xfId="9785"/>
    <cellStyle name="표준 2 5 7 3 3 2 2" xfId="21033"/>
    <cellStyle name="표준 2 5 7 3 3 3" xfId="7347"/>
    <cellStyle name="표준 2 5 7 3 3 3 2" xfId="18595"/>
    <cellStyle name="표준 2 5 7 3 3 4" xfId="4908"/>
    <cellStyle name="표준 2 5 7 3 3 4 2" xfId="16157"/>
    <cellStyle name="표준 2 5 7 3 3 5" xfId="2978"/>
    <cellStyle name="표준 2 5 7 3 3 5 2" xfId="14256"/>
    <cellStyle name="표준 2 5 7 3 3 6" xfId="12796"/>
    <cellStyle name="표준 2 5 7 3 4" xfId="8795"/>
    <cellStyle name="표준 2 5 7 3 4 2" xfId="20043"/>
    <cellStyle name="표준 2 5 7 3 5" xfId="6357"/>
    <cellStyle name="표준 2 5 7 3 5 2" xfId="17605"/>
    <cellStyle name="표준 2 5 7 3 6" xfId="10968"/>
    <cellStyle name="표준 2 5 7 3 6 2" xfId="22215"/>
    <cellStyle name="표준 2 5 7 3 7" xfId="3916"/>
    <cellStyle name="표준 2 5 7 3 7 2" xfId="15167"/>
    <cellStyle name="표준 2 5 7 3 8" xfId="2099"/>
    <cellStyle name="표준 2 5 7 3 8 2" xfId="13526"/>
    <cellStyle name="표준 2 5 7 3 9" xfId="12066"/>
    <cellStyle name="표준 2 5 7 4" xfId="794"/>
    <cellStyle name="표준 2 5 7 4 2" xfId="1447"/>
    <cellStyle name="표준 2 5 7 4 2 2" xfId="10011"/>
    <cellStyle name="표준 2 5 7 4 2 2 2" xfId="21259"/>
    <cellStyle name="표준 2 5 7 4 2 3" xfId="7573"/>
    <cellStyle name="표준 2 5 7 4 2 3 2" xfId="18821"/>
    <cellStyle name="표준 2 5 7 4 2 4" xfId="5134"/>
    <cellStyle name="표준 2 5 7 4 2 4 2" xfId="16383"/>
    <cellStyle name="표준 2 5 7 4 2 5" xfId="3061"/>
    <cellStyle name="표준 2 5 7 4 2 5 2" xfId="14339"/>
    <cellStyle name="표준 2 5 7 4 2 6" xfId="12879"/>
    <cellStyle name="표준 2 5 7 4 3" xfId="9021"/>
    <cellStyle name="표준 2 5 7 4 3 2" xfId="20269"/>
    <cellStyle name="표준 2 5 7 4 4" xfId="6583"/>
    <cellStyle name="표준 2 5 7 4 4 2" xfId="17831"/>
    <cellStyle name="표준 2 5 7 4 5" xfId="4142"/>
    <cellStyle name="표준 2 5 7 4 5 2" xfId="15393"/>
    <cellStyle name="표준 2 5 7 4 6" xfId="2421"/>
    <cellStyle name="표준 2 5 7 4 6 2" xfId="13816"/>
    <cellStyle name="표준 2 5 7 4 7" xfId="12356"/>
    <cellStyle name="표준 2 5 7 5" xfId="1130"/>
    <cellStyle name="표준 2 5 7 5 2" xfId="5541"/>
    <cellStyle name="표준 2 5 7 5 2 2" xfId="10418"/>
    <cellStyle name="표준 2 5 7 5 2 2 2" xfId="21666"/>
    <cellStyle name="표준 2 5 7 5 2 3" xfId="7980"/>
    <cellStyle name="표준 2 5 7 5 2 3 2" xfId="19228"/>
    <cellStyle name="표준 2 5 7 5 2 4" xfId="16790"/>
    <cellStyle name="표준 2 5 7 5 3" xfId="9428"/>
    <cellStyle name="표준 2 5 7 5 3 2" xfId="20676"/>
    <cellStyle name="표준 2 5 7 5 4" xfId="6990"/>
    <cellStyle name="표준 2 5 7 5 4 2" xfId="18238"/>
    <cellStyle name="표준 2 5 7 5 5" xfId="4551"/>
    <cellStyle name="표준 2 5 7 5 5 2" xfId="15800"/>
    <cellStyle name="표준 2 5 7 5 6" xfId="2751"/>
    <cellStyle name="표준 2 5 7 5 6 2" xfId="14029"/>
    <cellStyle name="표준 2 5 7 5 7" xfId="12569"/>
    <cellStyle name="표준 2 5 7 6" xfId="956"/>
    <cellStyle name="표준 2 5 7 6 2" xfId="9559"/>
    <cellStyle name="표준 2 5 7 6 2 2" xfId="20807"/>
    <cellStyle name="표준 2 5 7 6 3" xfId="7121"/>
    <cellStyle name="표준 2 5 7 6 3 2" xfId="18369"/>
    <cellStyle name="표준 2 5 7 6 4" xfId="4682"/>
    <cellStyle name="표준 2 5 7 6 4 2" xfId="15931"/>
    <cellStyle name="표준 2 5 7 6 5" xfId="2578"/>
    <cellStyle name="표준 2 5 7 6 5 2" xfId="13856"/>
    <cellStyle name="표준 2 5 7 6 6" xfId="12396"/>
    <cellStyle name="표준 2 5 7 7" xfId="5625"/>
    <cellStyle name="표준 2 5 7 7 2" xfId="10502"/>
    <cellStyle name="표준 2 5 7 7 2 2" xfId="21750"/>
    <cellStyle name="표준 2 5 7 7 3" xfId="8064"/>
    <cellStyle name="표준 2 5 7 7 3 2" xfId="19312"/>
    <cellStyle name="표준 2 5 7 7 4" xfId="16874"/>
    <cellStyle name="표준 2 5 7 8" xfId="5731"/>
    <cellStyle name="표준 2 5 7 8 2" xfId="10608"/>
    <cellStyle name="표준 2 5 7 8 2 2" xfId="21856"/>
    <cellStyle name="표준 2 5 7 8 3" xfId="8170"/>
    <cellStyle name="표준 2 5 7 8 3 2" xfId="19418"/>
    <cellStyle name="표준 2 5 7 8 4" xfId="16980"/>
    <cellStyle name="표준 2 5 7 9" xfId="5814"/>
    <cellStyle name="표준 2 5 7 9 2" xfId="10691"/>
    <cellStyle name="표준 2 5 7 9 2 2" xfId="21939"/>
    <cellStyle name="표준 2 5 7 9 3" xfId="8253"/>
    <cellStyle name="표준 2 5 7 9 3 2" xfId="19501"/>
    <cellStyle name="표준 2 5 7 9 4" xfId="17063"/>
    <cellStyle name="표준 2 5 8" xfId="207"/>
    <cellStyle name="표준 2 5 8 10" xfId="3638"/>
    <cellStyle name="표준 2 5 8 10 2" xfId="8537"/>
    <cellStyle name="표준 2 5 8 10 2 2" xfId="19785"/>
    <cellStyle name="표준 2 5 8 10 3" xfId="6099"/>
    <cellStyle name="표준 2 5 8 10 3 2" xfId="17347"/>
    <cellStyle name="표준 2 5 8 10 4" xfId="14909"/>
    <cellStyle name="표준 2 5 8 11" xfId="8358"/>
    <cellStyle name="표준 2 5 8 11 2" xfId="19606"/>
    <cellStyle name="표준 2 5 8 12" xfId="5920"/>
    <cellStyle name="표준 2 5 8 12 2" xfId="17168"/>
    <cellStyle name="표준 2 5 8 13" xfId="10804"/>
    <cellStyle name="표준 2 5 8 13 2" xfId="22052"/>
    <cellStyle name="표준 2 5 8 14" xfId="3458"/>
    <cellStyle name="표준 2 5 8 14 2" xfId="14730"/>
    <cellStyle name="표준 2 5 8 15" xfId="1879"/>
    <cellStyle name="표준 2 5 8 15 2" xfId="13306"/>
    <cellStyle name="표준 2 5 8 16" xfId="11846"/>
    <cellStyle name="표준 2 5 8 2" xfId="491"/>
    <cellStyle name="표준 2 5 8 2 10" xfId="2163"/>
    <cellStyle name="표준 2 5 8 2 10 2" xfId="13590"/>
    <cellStyle name="표준 2 5 8 2 11" xfId="12130"/>
    <cellStyle name="표준 2 5 8 2 2" xfId="1759"/>
    <cellStyle name="표준 2 5 8 2 2 2" xfId="4476"/>
    <cellStyle name="표준 2 5 8 2 2 2 2" xfId="5468"/>
    <cellStyle name="표준 2 5 8 2 2 2 2 2" xfId="10345"/>
    <cellStyle name="표준 2 5 8 2 2 2 2 2 2" xfId="21593"/>
    <cellStyle name="표준 2 5 8 2 2 2 2 3" xfId="7907"/>
    <cellStyle name="표준 2 5 8 2 2 2 2 3 2" xfId="19155"/>
    <cellStyle name="표준 2 5 8 2 2 2 2 4" xfId="16717"/>
    <cellStyle name="표준 2 5 8 2 2 2 3" xfId="9355"/>
    <cellStyle name="표준 2 5 8 2 2 2 3 2" xfId="20603"/>
    <cellStyle name="표준 2 5 8 2 2 2 4" xfId="6917"/>
    <cellStyle name="표준 2 5 8 2 2 2 4 2" xfId="18165"/>
    <cellStyle name="표준 2 5 8 2 2 2 5" xfId="15727"/>
    <cellStyle name="표준 2 5 8 2 2 3" xfId="5015"/>
    <cellStyle name="표준 2 5 8 2 2 3 2" xfId="9892"/>
    <cellStyle name="표준 2 5 8 2 2 3 2 2" xfId="21140"/>
    <cellStyle name="표준 2 5 8 2 2 3 3" xfId="7454"/>
    <cellStyle name="표준 2 5 8 2 2 3 3 2" xfId="18702"/>
    <cellStyle name="표준 2 5 8 2 2 3 4" xfId="16264"/>
    <cellStyle name="표준 2 5 8 2 2 4" xfId="8902"/>
    <cellStyle name="표준 2 5 8 2 2 4 2" xfId="20150"/>
    <cellStyle name="표준 2 5 8 2 2 5" xfId="6464"/>
    <cellStyle name="표준 2 5 8 2 2 5 2" xfId="17712"/>
    <cellStyle name="표준 2 5 8 2 2 6" xfId="11072"/>
    <cellStyle name="표준 2 5 8 2 2 6 2" xfId="22319"/>
    <cellStyle name="표준 2 5 8 2 2 7" xfId="4023"/>
    <cellStyle name="표준 2 5 8 2 2 7 2" xfId="15274"/>
    <cellStyle name="표준 2 5 8 2 2 8" xfId="3371"/>
    <cellStyle name="표준 2 5 8 2 2 8 2" xfId="14649"/>
    <cellStyle name="표준 2 5 8 2 2 9" xfId="13189"/>
    <cellStyle name="표준 2 5 8 2 3" xfId="1378"/>
    <cellStyle name="표준 2 5 8 2 3 2" xfId="5241"/>
    <cellStyle name="표준 2 5 8 2 3 2 2" xfId="10118"/>
    <cellStyle name="표준 2 5 8 2 3 2 2 2" xfId="21366"/>
    <cellStyle name="표준 2 5 8 2 3 2 3" xfId="7680"/>
    <cellStyle name="표준 2 5 8 2 3 2 3 2" xfId="18928"/>
    <cellStyle name="표준 2 5 8 2 3 2 4" xfId="16490"/>
    <cellStyle name="표준 2 5 8 2 3 3" xfId="9128"/>
    <cellStyle name="표준 2 5 8 2 3 3 2" xfId="20376"/>
    <cellStyle name="표준 2 5 8 2 3 4" xfId="6690"/>
    <cellStyle name="표준 2 5 8 2 3 4 2" xfId="17938"/>
    <cellStyle name="표준 2 5 8 2 3 5" xfId="4249"/>
    <cellStyle name="표준 2 5 8 2 3 5 2" xfId="15500"/>
    <cellStyle name="표준 2 5 8 2 3 6" xfId="2999"/>
    <cellStyle name="표준 2 5 8 2 3 6 2" xfId="14277"/>
    <cellStyle name="표준 2 5 8 2 3 7" xfId="12817"/>
    <cellStyle name="표준 2 5 8 2 4" xfId="4789"/>
    <cellStyle name="표준 2 5 8 2 4 2" xfId="9666"/>
    <cellStyle name="표준 2 5 8 2 4 2 2" xfId="20914"/>
    <cellStyle name="표준 2 5 8 2 4 3" xfId="7228"/>
    <cellStyle name="표준 2 5 8 2 4 3 2" xfId="18476"/>
    <cellStyle name="표준 2 5 8 2 4 4" xfId="16038"/>
    <cellStyle name="표준 2 5 8 2 5" xfId="3797"/>
    <cellStyle name="표준 2 5 8 2 5 2" xfId="8676"/>
    <cellStyle name="표준 2 5 8 2 5 2 2" xfId="19924"/>
    <cellStyle name="표준 2 5 8 2 5 3" xfId="6238"/>
    <cellStyle name="표준 2 5 8 2 5 3 2" xfId="17486"/>
    <cellStyle name="표준 2 5 8 2 5 4" xfId="15048"/>
    <cellStyle name="표준 2 5 8 2 6" xfId="8441"/>
    <cellStyle name="표준 2 5 8 2 6 2" xfId="19689"/>
    <cellStyle name="표준 2 5 8 2 7" xfId="6003"/>
    <cellStyle name="표준 2 5 8 2 7 2" xfId="17251"/>
    <cellStyle name="표준 2 5 8 2 8" xfId="10887"/>
    <cellStyle name="표준 2 5 8 2 8 2" xfId="22135"/>
    <cellStyle name="표준 2 5 8 2 9" xfId="3541"/>
    <cellStyle name="표준 2 5 8 2 9 2" xfId="14813"/>
    <cellStyle name="표준 2 5 8 3" xfId="824"/>
    <cellStyle name="표준 2 5 8 3 2" xfId="1470"/>
    <cellStyle name="표준 2 5 8 3 2 2" xfId="5382"/>
    <cellStyle name="표준 2 5 8 3 2 2 2" xfId="10259"/>
    <cellStyle name="표준 2 5 8 3 2 2 2 2" xfId="21507"/>
    <cellStyle name="표준 2 5 8 3 2 2 3" xfId="7821"/>
    <cellStyle name="표준 2 5 8 3 2 2 3 2" xfId="19069"/>
    <cellStyle name="표준 2 5 8 3 2 2 4" xfId="16631"/>
    <cellStyle name="표준 2 5 8 3 2 3" xfId="9269"/>
    <cellStyle name="표준 2 5 8 3 2 3 2" xfId="20517"/>
    <cellStyle name="표준 2 5 8 3 2 4" xfId="6831"/>
    <cellStyle name="표준 2 5 8 3 2 4 2" xfId="18079"/>
    <cellStyle name="표준 2 5 8 3 2 5" xfId="4390"/>
    <cellStyle name="표준 2 5 8 3 2 5 2" xfId="15641"/>
    <cellStyle name="표준 2 5 8 3 2 6" xfId="3082"/>
    <cellStyle name="표준 2 5 8 3 2 6 2" xfId="14360"/>
    <cellStyle name="표준 2 5 8 3 2 7" xfId="12900"/>
    <cellStyle name="표준 2 5 8 3 3" xfId="4929"/>
    <cellStyle name="표준 2 5 8 3 3 2" xfId="9806"/>
    <cellStyle name="표준 2 5 8 3 3 2 2" xfId="21054"/>
    <cellStyle name="표준 2 5 8 3 3 3" xfId="7368"/>
    <cellStyle name="표준 2 5 8 3 3 3 2" xfId="18616"/>
    <cellStyle name="표준 2 5 8 3 3 4" xfId="16178"/>
    <cellStyle name="표준 2 5 8 3 4" xfId="8816"/>
    <cellStyle name="표준 2 5 8 3 4 2" xfId="20064"/>
    <cellStyle name="표준 2 5 8 3 5" xfId="6378"/>
    <cellStyle name="표준 2 5 8 3 5 2" xfId="17626"/>
    <cellStyle name="표준 2 5 8 3 6" xfId="10989"/>
    <cellStyle name="표준 2 5 8 3 6 2" xfId="22236"/>
    <cellStyle name="표준 2 5 8 3 7" xfId="3937"/>
    <cellStyle name="표준 2 5 8 3 7 2" xfId="15188"/>
    <cellStyle name="표준 2 5 8 3 8" xfId="2448"/>
    <cellStyle name="표준 2 5 8 3 8 2" xfId="13837"/>
    <cellStyle name="표준 2 5 8 3 9" xfId="12377"/>
    <cellStyle name="표준 2 5 8 4" xfId="1194"/>
    <cellStyle name="표준 2 5 8 4 2" xfId="5155"/>
    <cellStyle name="표준 2 5 8 4 2 2" xfId="10032"/>
    <cellStyle name="표준 2 5 8 4 2 2 2" xfId="21280"/>
    <cellStyle name="표준 2 5 8 4 2 3" xfId="7594"/>
    <cellStyle name="표준 2 5 8 4 2 3 2" xfId="18842"/>
    <cellStyle name="표준 2 5 8 4 2 4" xfId="16404"/>
    <cellStyle name="표준 2 5 8 4 3" xfId="9042"/>
    <cellStyle name="표준 2 5 8 4 3 2" xfId="20290"/>
    <cellStyle name="표준 2 5 8 4 4" xfId="6604"/>
    <cellStyle name="표준 2 5 8 4 4 2" xfId="17852"/>
    <cellStyle name="표준 2 5 8 4 5" xfId="4163"/>
    <cellStyle name="표준 2 5 8 4 5 2" xfId="15414"/>
    <cellStyle name="표준 2 5 8 4 6" xfId="2815"/>
    <cellStyle name="표준 2 5 8 4 6 2" xfId="14093"/>
    <cellStyle name="표준 2 5 8 4 7" xfId="12633"/>
    <cellStyle name="표준 2 5 8 5" xfId="4572"/>
    <cellStyle name="표준 2 5 8 5 2" xfId="5562"/>
    <cellStyle name="표준 2 5 8 5 2 2" xfId="10439"/>
    <cellStyle name="표준 2 5 8 5 2 2 2" xfId="21687"/>
    <cellStyle name="표준 2 5 8 5 2 3" xfId="8001"/>
    <cellStyle name="표준 2 5 8 5 2 3 2" xfId="19249"/>
    <cellStyle name="표준 2 5 8 5 2 4" xfId="16811"/>
    <cellStyle name="표준 2 5 8 5 3" xfId="9449"/>
    <cellStyle name="표준 2 5 8 5 3 2" xfId="20697"/>
    <cellStyle name="표준 2 5 8 5 4" xfId="7011"/>
    <cellStyle name="표준 2 5 8 5 4 2" xfId="18259"/>
    <cellStyle name="표준 2 5 8 5 5" xfId="15821"/>
    <cellStyle name="표준 2 5 8 6" xfId="4703"/>
    <cellStyle name="표준 2 5 8 6 2" xfId="9580"/>
    <cellStyle name="표준 2 5 8 6 2 2" xfId="20828"/>
    <cellStyle name="표준 2 5 8 6 3" xfId="7142"/>
    <cellStyle name="표준 2 5 8 6 3 2" xfId="18390"/>
    <cellStyle name="표준 2 5 8 6 4" xfId="15952"/>
    <cellStyle name="표준 2 5 8 7" xfId="5646"/>
    <cellStyle name="표준 2 5 8 7 2" xfId="10523"/>
    <cellStyle name="표준 2 5 8 7 2 2" xfId="21771"/>
    <cellStyle name="표준 2 5 8 7 3" xfId="8085"/>
    <cellStyle name="표준 2 5 8 7 3 2" xfId="19333"/>
    <cellStyle name="표준 2 5 8 7 4" xfId="16895"/>
    <cellStyle name="표준 2 5 8 8" xfId="5752"/>
    <cellStyle name="표준 2 5 8 8 2" xfId="10629"/>
    <cellStyle name="표준 2 5 8 8 2 2" xfId="21877"/>
    <cellStyle name="표준 2 5 8 8 3" xfId="8191"/>
    <cellStyle name="표준 2 5 8 8 3 2" xfId="19439"/>
    <cellStyle name="표준 2 5 8 8 4" xfId="17001"/>
    <cellStyle name="표준 2 5 8 9" xfId="5835"/>
    <cellStyle name="표준 2 5 8 9 2" xfId="10712"/>
    <cellStyle name="표준 2 5 8 9 2 2" xfId="21960"/>
    <cellStyle name="표준 2 5 8 9 3" xfId="8274"/>
    <cellStyle name="표준 2 5 8 9 3 2" xfId="19522"/>
    <cellStyle name="표준 2 5 8 9 4" xfId="17084"/>
    <cellStyle name="표준 2 5 9" xfId="381"/>
    <cellStyle name="표준 2 5 9 10" xfId="2053"/>
    <cellStyle name="표준 2 5 9 10 2" xfId="13480"/>
    <cellStyle name="표준 2 5 9 11" xfId="12020"/>
    <cellStyle name="표준 2 5 9 2" xfId="726"/>
    <cellStyle name="표준 2 5 9 2 2" xfId="1479"/>
    <cellStyle name="표준 2 5 9 2 2 2" xfId="5306"/>
    <cellStyle name="표준 2 5 9 2 2 2 2" xfId="10183"/>
    <cellStyle name="표준 2 5 9 2 2 2 2 2" xfId="21431"/>
    <cellStyle name="표준 2 5 9 2 2 2 3" xfId="7745"/>
    <cellStyle name="표준 2 5 9 2 2 2 3 2" xfId="18993"/>
    <cellStyle name="표준 2 5 9 2 2 2 4" xfId="16555"/>
    <cellStyle name="표준 2 5 9 2 2 3" xfId="9193"/>
    <cellStyle name="표준 2 5 9 2 2 3 2" xfId="20441"/>
    <cellStyle name="표준 2 5 9 2 2 4" xfId="6755"/>
    <cellStyle name="표준 2 5 9 2 2 4 2" xfId="18003"/>
    <cellStyle name="표준 2 5 9 2 2 5" xfId="4314"/>
    <cellStyle name="표준 2 5 9 2 2 5 2" xfId="15565"/>
    <cellStyle name="표준 2 5 9 2 2 6" xfId="3091"/>
    <cellStyle name="표준 2 5 9 2 2 6 2" xfId="14369"/>
    <cellStyle name="표준 2 5 9 2 2 7" xfId="12909"/>
    <cellStyle name="표준 2 5 9 2 3" xfId="4853"/>
    <cellStyle name="표준 2 5 9 2 3 2" xfId="9730"/>
    <cellStyle name="표준 2 5 9 2 3 2 2" xfId="20978"/>
    <cellStyle name="표준 2 5 9 2 3 3" xfId="7292"/>
    <cellStyle name="표준 2 5 9 2 3 3 2" xfId="18540"/>
    <cellStyle name="표준 2 5 9 2 3 4" xfId="16102"/>
    <cellStyle name="표준 2 5 9 2 4" xfId="8740"/>
    <cellStyle name="표준 2 5 9 2 4 2" xfId="19988"/>
    <cellStyle name="표준 2 5 9 2 5" xfId="6302"/>
    <cellStyle name="표준 2 5 9 2 5 2" xfId="17550"/>
    <cellStyle name="표준 2 5 9 2 6" xfId="10996"/>
    <cellStyle name="표준 2 5 9 2 6 2" xfId="22243"/>
    <cellStyle name="표준 2 5 9 2 7" xfId="3861"/>
    <cellStyle name="표준 2 5 9 2 7 2" xfId="15112"/>
    <cellStyle name="표준 2 5 9 2 8" xfId="2358"/>
    <cellStyle name="표준 2 5 9 2 8 2" xfId="13761"/>
    <cellStyle name="표준 2 5 9 2 9" xfId="12301"/>
    <cellStyle name="표준 2 5 9 3" xfId="1084"/>
    <cellStyle name="표준 2 5 9 3 2" xfId="5079"/>
    <cellStyle name="표준 2 5 9 3 2 2" xfId="9956"/>
    <cellStyle name="표준 2 5 9 3 2 2 2" xfId="21204"/>
    <cellStyle name="표준 2 5 9 3 2 3" xfId="7518"/>
    <cellStyle name="표준 2 5 9 3 2 3 2" xfId="18766"/>
    <cellStyle name="표준 2 5 9 3 2 4" xfId="16328"/>
    <cellStyle name="표준 2 5 9 3 3" xfId="8966"/>
    <cellStyle name="표준 2 5 9 3 3 2" xfId="20214"/>
    <cellStyle name="표준 2 5 9 3 4" xfId="6528"/>
    <cellStyle name="표준 2 5 9 3 4 2" xfId="17776"/>
    <cellStyle name="표준 2 5 9 3 5" xfId="4087"/>
    <cellStyle name="표준 2 5 9 3 5 2" xfId="15338"/>
    <cellStyle name="표준 2 5 9 3 6" xfId="2705"/>
    <cellStyle name="표준 2 5 9 3 6 2" xfId="13983"/>
    <cellStyle name="표준 2 5 9 3 7" xfId="12523"/>
    <cellStyle name="표준 2 5 9 4" xfId="4627"/>
    <cellStyle name="표준 2 5 9 4 2" xfId="9504"/>
    <cellStyle name="표준 2 5 9 4 2 2" xfId="20752"/>
    <cellStyle name="표준 2 5 9 4 3" xfId="7066"/>
    <cellStyle name="표준 2 5 9 4 3 2" xfId="18314"/>
    <cellStyle name="표준 2 5 9 4 4" xfId="15876"/>
    <cellStyle name="표준 2 5 9 5" xfId="3674"/>
    <cellStyle name="표준 2 5 9 5 2" xfId="8554"/>
    <cellStyle name="표준 2 5 9 5 2 2" xfId="19802"/>
    <cellStyle name="표준 2 5 9 5 3" xfId="6116"/>
    <cellStyle name="표준 2 5 9 5 3 2" xfId="17364"/>
    <cellStyle name="표준 2 5 9 5 4" xfId="14926"/>
    <cellStyle name="표준 2 5 9 6" xfId="8365"/>
    <cellStyle name="표준 2 5 9 6 2" xfId="19613"/>
    <cellStyle name="표준 2 5 9 7" xfId="5927"/>
    <cellStyle name="표준 2 5 9 7 2" xfId="17175"/>
    <cellStyle name="표준 2 5 9 8" xfId="10811"/>
    <cellStyle name="표준 2 5 9 8 2" xfId="22059"/>
    <cellStyle name="표준 2 5 9 9" xfId="3465"/>
    <cellStyle name="표준 2 5 9 9 2" xfId="14737"/>
    <cellStyle name="표준 2 6" xfId="55"/>
    <cellStyle name="표준 2 6 10" xfId="4582"/>
    <cellStyle name="표준 2 6 10 2" xfId="9459"/>
    <cellStyle name="표준 2 6 10 2 2" xfId="20707"/>
    <cellStyle name="표준 2 6 10 3" xfId="7021"/>
    <cellStyle name="표준 2 6 10 3 2" xfId="18269"/>
    <cellStyle name="표준 2 6 10 4" xfId="15831"/>
    <cellStyle name="표준 2 6 11" xfId="5634"/>
    <cellStyle name="표준 2 6 11 2" xfId="10511"/>
    <cellStyle name="표준 2 6 11 2 2" xfId="21759"/>
    <cellStyle name="표준 2 6 11 3" xfId="8073"/>
    <cellStyle name="표준 2 6 11 3 2" xfId="19321"/>
    <cellStyle name="표준 2 6 11 4" xfId="16883"/>
    <cellStyle name="표준 2 6 12" xfId="5659"/>
    <cellStyle name="표준 2 6 12 2" xfId="10536"/>
    <cellStyle name="표준 2 6 12 2 2" xfId="21784"/>
    <cellStyle name="표준 2 6 12 3" xfId="8098"/>
    <cellStyle name="표준 2 6 12 3 2" xfId="19346"/>
    <cellStyle name="표준 2 6 12 4" xfId="16908"/>
    <cellStyle name="표준 2 6 13" xfId="5740"/>
    <cellStyle name="표준 2 6 13 2" xfId="10617"/>
    <cellStyle name="표준 2 6 13 2 2" xfId="21865"/>
    <cellStyle name="표준 2 6 13 3" xfId="8179"/>
    <cellStyle name="표준 2 6 13 3 2" xfId="19427"/>
    <cellStyle name="표준 2 6 13 4" xfId="16989"/>
    <cellStyle name="표준 2 6 14" xfId="5823"/>
    <cellStyle name="표준 2 6 14 2" xfId="10700"/>
    <cellStyle name="표준 2 6 14 2 2" xfId="21948"/>
    <cellStyle name="표준 2 6 14 3" xfId="8262"/>
    <cellStyle name="표준 2 6 14 3 2" xfId="19510"/>
    <cellStyle name="표준 2 6 14 4" xfId="17072"/>
    <cellStyle name="표준 2 6 15" xfId="3626"/>
    <cellStyle name="표준 2 6 15 2" xfId="8525"/>
    <cellStyle name="표준 2 6 15 2 2" xfId="19773"/>
    <cellStyle name="표준 2 6 15 3" xfId="6087"/>
    <cellStyle name="표준 2 6 15 3 2" xfId="17335"/>
    <cellStyle name="표준 2 6 15 4" xfId="14897"/>
    <cellStyle name="표준 2 6 16" xfId="8346"/>
    <cellStyle name="표준 2 6 16 2" xfId="19594"/>
    <cellStyle name="표준 2 6 17" xfId="5908"/>
    <cellStyle name="표준 2 6 17 2" xfId="17156"/>
    <cellStyle name="표준 2 6 18" xfId="10792"/>
    <cellStyle name="표준 2 6 18 2" xfId="22040"/>
    <cellStyle name="표준 2 6 19" xfId="3440"/>
    <cellStyle name="표준 2 6 19 2" xfId="14718"/>
    <cellStyle name="표준 2 6 2" xfId="74"/>
    <cellStyle name="표준 2 6 2 10" xfId="5635"/>
    <cellStyle name="표준 2 6 2 10 2" xfId="10512"/>
    <cellStyle name="표준 2 6 2 10 2 2" xfId="21760"/>
    <cellStyle name="표준 2 6 2 10 3" xfId="8074"/>
    <cellStyle name="표준 2 6 2 10 3 2" xfId="19322"/>
    <cellStyle name="표준 2 6 2 10 4" xfId="16884"/>
    <cellStyle name="표준 2 6 2 11" xfId="5667"/>
    <cellStyle name="표준 2 6 2 11 2" xfId="10544"/>
    <cellStyle name="표준 2 6 2 11 2 2" xfId="21792"/>
    <cellStyle name="표준 2 6 2 11 3" xfId="8106"/>
    <cellStyle name="표준 2 6 2 11 3 2" xfId="19354"/>
    <cellStyle name="표준 2 6 2 11 4" xfId="16916"/>
    <cellStyle name="표준 2 6 2 12" xfId="5741"/>
    <cellStyle name="표준 2 6 2 12 2" xfId="10618"/>
    <cellStyle name="표준 2 6 2 12 2 2" xfId="21866"/>
    <cellStyle name="표준 2 6 2 12 3" xfId="8180"/>
    <cellStyle name="표준 2 6 2 12 3 2" xfId="19428"/>
    <cellStyle name="표준 2 6 2 12 4" xfId="16990"/>
    <cellStyle name="표준 2 6 2 13" xfId="5824"/>
    <cellStyle name="표준 2 6 2 13 2" xfId="10701"/>
    <cellStyle name="표준 2 6 2 13 2 2" xfId="21949"/>
    <cellStyle name="표준 2 6 2 13 3" xfId="8263"/>
    <cellStyle name="표준 2 6 2 13 3 2" xfId="19511"/>
    <cellStyle name="표준 2 6 2 13 4" xfId="17073"/>
    <cellStyle name="표준 2 6 2 14" xfId="3627"/>
    <cellStyle name="표준 2 6 2 14 2" xfId="8526"/>
    <cellStyle name="표준 2 6 2 14 2 2" xfId="19774"/>
    <cellStyle name="표준 2 6 2 14 3" xfId="6088"/>
    <cellStyle name="표준 2 6 2 14 3 2" xfId="17336"/>
    <cellStyle name="표준 2 6 2 14 4" xfId="14898"/>
    <cellStyle name="표준 2 6 2 15" xfId="8347"/>
    <cellStyle name="표준 2 6 2 15 2" xfId="19595"/>
    <cellStyle name="표준 2 6 2 16" xfId="5909"/>
    <cellStyle name="표준 2 6 2 16 2" xfId="17157"/>
    <cellStyle name="표준 2 6 2 17" xfId="10793"/>
    <cellStyle name="표준 2 6 2 17 2" xfId="22041"/>
    <cellStyle name="표준 2 6 2 18" xfId="3441"/>
    <cellStyle name="표준 2 6 2 18 2" xfId="14719"/>
    <cellStyle name="표준 2 6 2 19" xfId="1790"/>
    <cellStyle name="표준 2 6 2 19 2" xfId="13219"/>
    <cellStyle name="표준 2 6 2 2" xfId="175"/>
    <cellStyle name="표준 2 6 2 2 10" xfId="3530"/>
    <cellStyle name="표준 2 6 2 2 10 2" xfId="14802"/>
    <cellStyle name="표준 2 6 2 2 11" xfId="1849"/>
    <cellStyle name="표준 2 6 2 2 11 2" xfId="13276"/>
    <cellStyle name="표준 2 6 2 2 12" xfId="11816"/>
    <cellStyle name="표준 2 6 2 2 2" xfId="287"/>
    <cellStyle name="표준 2 6 2 2 2 10" xfId="11926"/>
    <cellStyle name="표준 2 6 2 2 2 2" xfId="571"/>
    <cellStyle name="표준 2 6 2 2 2 2 2" xfId="1659"/>
    <cellStyle name="표준 2 6 2 2 2 2 2 2" xfId="5483"/>
    <cellStyle name="표준 2 6 2 2 2 2 2 2 2" xfId="10360"/>
    <cellStyle name="표준 2 6 2 2 2 2 2 2 2 2" xfId="21608"/>
    <cellStyle name="표준 2 6 2 2 2 2 2 2 3" xfId="7922"/>
    <cellStyle name="표준 2 6 2 2 2 2 2 2 3 2" xfId="19170"/>
    <cellStyle name="표준 2 6 2 2 2 2 2 2 4" xfId="16732"/>
    <cellStyle name="표준 2 6 2 2 2 2 2 3" xfId="9370"/>
    <cellStyle name="표준 2 6 2 2 2 2 2 3 2" xfId="20618"/>
    <cellStyle name="표준 2 6 2 2 2 2 2 4" xfId="6932"/>
    <cellStyle name="표준 2 6 2 2 2 2 2 4 2" xfId="18180"/>
    <cellStyle name="표준 2 6 2 2 2 2 2 5" xfId="4493"/>
    <cellStyle name="표준 2 6 2 2 2 2 2 5 2" xfId="15742"/>
    <cellStyle name="표준 2 6 2 2 2 2 2 6" xfId="3271"/>
    <cellStyle name="표준 2 6 2 2 2 2 2 6 2" xfId="14549"/>
    <cellStyle name="표준 2 6 2 2 2 2 2 7" xfId="13089"/>
    <cellStyle name="표준 2 6 2 2 2 2 3" xfId="5028"/>
    <cellStyle name="표준 2 6 2 2 2 2 3 2" xfId="9905"/>
    <cellStyle name="표준 2 6 2 2 2 2 3 2 2" xfId="21153"/>
    <cellStyle name="표준 2 6 2 2 2 2 3 3" xfId="7467"/>
    <cellStyle name="표준 2 6 2 2 2 2 3 3 2" xfId="18715"/>
    <cellStyle name="표준 2 6 2 2 2 2 3 4" xfId="16277"/>
    <cellStyle name="표준 2 6 2 2 2 2 4" xfId="8915"/>
    <cellStyle name="표준 2 6 2 2 2 2 4 2" xfId="20163"/>
    <cellStyle name="표준 2 6 2 2 2 2 5" xfId="6477"/>
    <cellStyle name="표준 2 6 2 2 2 2 5 2" xfId="17725"/>
    <cellStyle name="표준 2 6 2 2 2 2 6" xfId="4036"/>
    <cellStyle name="표준 2 6 2 2 2 2 6 2" xfId="15287"/>
    <cellStyle name="표준 2 6 2 2 2 2 7" xfId="2243"/>
    <cellStyle name="표준 2 6 2 2 2 2 7 2" xfId="13670"/>
    <cellStyle name="표준 2 6 2 2 2 2 8" xfId="12210"/>
    <cellStyle name="표준 2 6 2 2 2 3" xfId="1274"/>
    <cellStyle name="표준 2 6 2 2 2 3 2" xfId="5254"/>
    <cellStyle name="표준 2 6 2 2 2 3 2 2" xfId="10131"/>
    <cellStyle name="표준 2 6 2 2 2 3 2 2 2" xfId="21379"/>
    <cellStyle name="표준 2 6 2 2 2 3 2 3" xfId="7693"/>
    <cellStyle name="표준 2 6 2 2 2 3 2 3 2" xfId="18941"/>
    <cellStyle name="표준 2 6 2 2 2 3 2 4" xfId="16503"/>
    <cellStyle name="표준 2 6 2 2 2 3 3" xfId="9141"/>
    <cellStyle name="표준 2 6 2 2 2 3 3 2" xfId="20389"/>
    <cellStyle name="표준 2 6 2 2 2 3 4" xfId="6703"/>
    <cellStyle name="표준 2 6 2 2 2 3 4 2" xfId="17951"/>
    <cellStyle name="표준 2 6 2 2 2 3 5" xfId="4262"/>
    <cellStyle name="표준 2 6 2 2 2 3 5 2" xfId="15513"/>
    <cellStyle name="표준 2 6 2 2 2 3 6" xfId="2895"/>
    <cellStyle name="표준 2 6 2 2 2 3 6 2" xfId="14173"/>
    <cellStyle name="표준 2 6 2 2 2 3 7" xfId="12713"/>
    <cellStyle name="표준 2 6 2 2 2 4" xfId="4802"/>
    <cellStyle name="표준 2 6 2 2 2 4 2" xfId="9679"/>
    <cellStyle name="표준 2 6 2 2 2 4 2 2" xfId="20927"/>
    <cellStyle name="표준 2 6 2 2 2 4 3" xfId="7241"/>
    <cellStyle name="표준 2 6 2 2 2 4 3 2" xfId="18489"/>
    <cellStyle name="표준 2 6 2 2 2 4 4" xfId="16051"/>
    <cellStyle name="표준 2 6 2 2 2 5" xfId="8689"/>
    <cellStyle name="표준 2 6 2 2 2 5 2" xfId="19937"/>
    <cellStyle name="표준 2 6 2 2 2 6" xfId="6251"/>
    <cellStyle name="표준 2 6 2 2 2 6 2" xfId="17499"/>
    <cellStyle name="표준 2 6 2 2 2 7" xfId="11061"/>
    <cellStyle name="표준 2 6 2 2 2 7 2" xfId="22308"/>
    <cellStyle name="표준 2 6 2 2 2 8" xfId="3810"/>
    <cellStyle name="표준 2 6 2 2 2 8 2" xfId="15061"/>
    <cellStyle name="표준 2 6 2 2 2 9" xfId="1959"/>
    <cellStyle name="표준 2 6 2 2 2 9 2" xfId="13386"/>
    <cellStyle name="표준 2 6 2 2 3" xfId="461"/>
    <cellStyle name="표준 2 6 2 2 3 2" xfId="1554"/>
    <cellStyle name="표준 2 6 2 2 3 2 2" xfId="5293"/>
    <cellStyle name="표준 2 6 2 2 3 2 2 2" xfId="10170"/>
    <cellStyle name="표준 2 6 2 2 3 2 2 2 2" xfId="21418"/>
    <cellStyle name="표준 2 6 2 2 3 2 2 3" xfId="7732"/>
    <cellStyle name="표준 2 6 2 2 3 2 2 3 2" xfId="18980"/>
    <cellStyle name="표준 2 6 2 2 3 2 2 4" xfId="16542"/>
    <cellStyle name="표준 2 6 2 2 3 2 3" xfId="9180"/>
    <cellStyle name="표준 2 6 2 2 3 2 3 2" xfId="20428"/>
    <cellStyle name="표준 2 6 2 2 3 2 4" xfId="6742"/>
    <cellStyle name="표준 2 6 2 2 3 2 4 2" xfId="17990"/>
    <cellStyle name="표준 2 6 2 2 3 2 5" xfId="4301"/>
    <cellStyle name="표준 2 6 2 2 3 2 5 2" xfId="15552"/>
    <cellStyle name="표준 2 6 2 2 3 2 6" xfId="3166"/>
    <cellStyle name="표준 2 6 2 2 3 2 6 2" xfId="14444"/>
    <cellStyle name="표준 2 6 2 2 3 2 7" xfId="12984"/>
    <cellStyle name="표준 2 6 2 2 3 3" xfId="4840"/>
    <cellStyle name="표준 2 6 2 2 3 3 2" xfId="9717"/>
    <cellStyle name="표준 2 6 2 2 3 3 2 2" xfId="20965"/>
    <cellStyle name="표준 2 6 2 2 3 3 3" xfId="7279"/>
    <cellStyle name="표준 2 6 2 2 3 3 3 2" xfId="18527"/>
    <cellStyle name="표준 2 6 2 2 3 3 4" xfId="16089"/>
    <cellStyle name="표준 2 6 2 2 3 4" xfId="8727"/>
    <cellStyle name="표준 2 6 2 2 3 4 2" xfId="19975"/>
    <cellStyle name="표준 2 6 2 2 3 5" xfId="6289"/>
    <cellStyle name="표준 2 6 2 2 3 5 2" xfId="17537"/>
    <cellStyle name="표준 2 6 2 2 3 6" xfId="3848"/>
    <cellStyle name="표준 2 6 2 2 3 6 2" xfId="15099"/>
    <cellStyle name="표준 2 6 2 2 3 7" xfId="2133"/>
    <cellStyle name="표준 2 6 2 2 3 7 2" xfId="13560"/>
    <cellStyle name="표준 2 6 2 2 3 8" xfId="12100"/>
    <cellStyle name="표준 2 6 2 2 4" xfId="804"/>
    <cellStyle name="표준 2 6 2 2 4 2" xfId="5066"/>
    <cellStyle name="표준 2 6 2 2 4 2 2" xfId="9943"/>
    <cellStyle name="표준 2 6 2 2 4 2 2 2" xfId="21191"/>
    <cellStyle name="표준 2 6 2 2 4 2 3" xfId="7505"/>
    <cellStyle name="표준 2 6 2 2 4 2 3 2" xfId="18753"/>
    <cellStyle name="표준 2 6 2 2 4 2 4" xfId="16315"/>
    <cellStyle name="표준 2 6 2 2 4 3" xfId="8953"/>
    <cellStyle name="표준 2 6 2 2 4 3 2" xfId="20201"/>
    <cellStyle name="표준 2 6 2 2 4 4" xfId="6515"/>
    <cellStyle name="표준 2 6 2 2 4 4 2" xfId="17763"/>
    <cellStyle name="표준 2 6 2 2 4 5" xfId="4074"/>
    <cellStyle name="표준 2 6 2 2 4 5 2" xfId="15325"/>
    <cellStyle name="표준 2 6 2 2 4 6" xfId="2431"/>
    <cellStyle name="표준 2 6 2 2 4 6 2" xfId="13826"/>
    <cellStyle name="표준 2 6 2 2 4 7" xfId="12366"/>
    <cellStyle name="표준 2 6 2 2 5" xfId="1164"/>
    <cellStyle name="표준 2 6 2 2 5 2" xfId="9491"/>
    <cellStyle name="표준 2 6 2 2 5 2 2" xfId="20739"/>
    <cellStyle name="표준 2 6 2 2 5 3" xfId="7053"/>
    <cellStyle name="표준 2 6 2 2 5 3 2" xfId="18301"/>
    <cellStyle name="표준 2 6 2 2 5 4" xfId="4614"/>
    <cellStyle name="표준 2 6 2 2 5 4 2" xfId="15863"/>
    <cellStyle name="표준 2 6 2 2 5 5" xfId="2785"/>
    <cellStyle name="표준 2 6 2 2 5 5 2" xfId="14063"/>
    <cellStyle name="표준 2 6 2 2 5 6" xfId="12603"/>
    <cellStyle name="표준 2 6 2 2 6" xfId="3650"/>
    <cellStyle name="표준 2 6 2 2 6 2" xfId="8547"/>
    <cellStyle name="표준 2 6 2 2 6 2 2" xfId="19795"/>
    <cellStyle name="표준 2 6 2 2 6 3" xfId="6109"/>
    <cellStyle name="표준 2 6 2 2 6 3 2" xfId="17357"/>
    <cellStyle name="표준 2 6 2 2 6 4" xfId="14919"/>
    <cellStyle name="표준 2 6 2 2 7" xfId="8430"/>
    <cellStyle name="표준 2 6 2 2 7 2" xfId="19678"/>
    <cellStyle name="표준 2 6 2 2 8" xfId="5992"/>
    <cellStyle name="표준 2 6 2 2 8 2" xfId="17240"/>
    <cellStyle name="표준 2 6 2 2 9" xfId="10876"/>
    <cellStyle name="표준 2 6 2 2 9 2" xfId="22124"/>
    <cellStyle name="표준 2 6 2 20" xfId="11759"/>
    <cellStyle name="표준 2 6 2 3" xfId="230"/>
    <cellStyle name="표준 2 6 2 3 10" xfId="11869"/>
    <cellStyle name="표준 2 6 2 3 2" xfId="514"/>
    <cellStyle name="표준 2 6 2 3 2 2" xfId="1602"/>
    <cellStyle name="표준 2 6 2 3 2 2 2" xfId="5371"/>
    <cellStyle name="표준 2 6 2 3 2 2 2 2" xfId="10248"/>
    <cellStyle name="표준 2 6 2 3 2 2 2 2 2" xfId="21496"/>
    <cellStyle name="표준 2 6 2 3 2 2 2 3" xfId="7810"/>
    <cellStyle name="표준 2 6 2 3 2 2 2 3 2" xfId="19058"/>
    <cellStyle name="표준 2 6 2 3 2 2 2 4" xfId="16620"/>
    <cellStyle name="표준 2 6 2 3 2 2 3" xfId="9258"/>
    <cellStyle name="표준 2 6 2 3 2 2 3 2" xfId="20506"/>
    <cellStyle name="표준 2 6 2 3 2 2 4" xfId="6820"/>
    <cellStyle name="표준 2 6 2 3 2 2 4 2" xfId="18068"/>
    <cellStyle name="표준 2 6 2 3 2 2 5" xfId="4379"/>
    <cellStyle name="표준 2 6 2 3 2 2 5 2" xfId="15630"/>
    <cellStyle name="표준 2 6 2 3 2 2 6" xfId="3214"/>
    <cellStyle name="표준 2 6 2 3 2 2 6 2" xfId="14492"/>
    <cellStyle name="표준 2 6 2 3 2 2 7" xfId="13032"/>
    <cellStyle name="표준 2 6 2 3 2 3" xfId="4918"/>
    <cellStyle name="표준 2 6 2 3 2 3 2" xfId="9795"/>
    <cellStyle name="표준 2 6 2 3 2 3 2 2" xfId="21043"/>
    <cellStyle name="표준 2 6 2 3 2 3 3" xfId="7357"/>
    <cellStyle name="표준 2 6 2 3 2 3 3 2" xfId="18605"/>
    <cellStyle name="표준 2 6 2 3 2 3 4" xfId="16167"/>
    <cellStyle name="표준 2 6 2 3 2 4" xfId="8805"/>
    <cellStyle name="표준 2 6 2 3 2 4 2" xfId="20053"/>
    <cellStyle name="표준 2 6 2 3 2 5" xfId="6367"/>
    <cellStyle name="표준 2 6 2 3 2 5 2" xfId="17615"/>
    <cellStyle name="표준 2 6 2 3 2 6" xfId="3926"/>
    <cellStyle name="표준 2 6 2 3 2 6 2" xfId="15177"/>
    <cellStyle name="표준 2 6 2 3 2 7" xfId="2186"/>
    <cellStyle name="표준 2 6 2 3 2 7 2" xfId="13613"/>
    <cellStyle name="표준 2 6 2 3 2 8" xfId="12153"/>
    <cellStyle name="표준 2 6 2 3 3" xfId="1217"/>
    <cellStyle name="표준 2 6 2 3 3 2" xfId="5144"/>
    <cellStyle name="표준 2 6 2 3 3 2 2" xfId="10021"/>
    <cellStyle name="표준 2 6 2 3 3 2 2 2" xfId="21269"/>
    <cellStyle name="표준 2 6 2 3 3 2 3" xfId="7583"/>
    <cellStyle name="표준 2 6 2 3 3 2 3 2" xfId="18831"/>
    <cellStyle name="표준 2 6 2 3 3 2 4" xfId="16393"/>
    <cellStyle name="표준 2 6 2 3 3 3" xfId="9031"/>
    <cellStyle name="표준 2 6 2 3 3 3 2" xfId="20279"/>
    <cellStyle name="표준 2 6 2 3 3 4" xfId="6593"/>
    <cellStyle name="표준 2 6 2 3 3 4 2" xfId="17841"/>
    <cellStyle name="표준 2 6 2 3 3 5" xfId="4152"/>
    <cellStyle name="표준 2 6 2 3 3 5 2" xfId="15403"/>
    <cellStyle name="표준 2 6 2 3 3 6" xfId="2838"/>
    <cellStyle name="표준 2 6 2 3 3 6 2" xfId="14116"/>
    <cellStyle name="표준 2 6 2 3 3 7" xfId="12656"/>
    <cellStyle name="표준 2 6 2 3 4" xfId="4692"/>
    <cellStyle name="표준 2 6 2 3 4 2" xfId="9569"/>
    <cellStyle name="표준 2 6 2 3 4 2 2" xfId="20817"/>
    <cellStyle name="표준 2 6 2 3 4 3" xfId="7131"/>
    <cellStyle name="표준 2 6 2 3 4 3 2" xfId="18379"/>
    <cellStyle name="표준 2 6 2 3 4 4" xfId="15941"/>
    <cellStyle name="표준 2 6 2 3 5" xfId="8588"/>
    <cellStyle name="표준 2 6 2 3 5 2" xfId="19836"/>
    <cellStyle name="표준 2 6 2 3 6" xfId="6150"/>
    <cellStyle name="표준 2 6 2 3 6 2" xfId="17398"/>
    <cellStyle name="표준 2 6 2 3 7" xfId="10978"/>
    <cellStyle name="표준 2 6 2 3 7 2" xfId="22225"/>
    <cellStyle name="표준 2 6 2 3 8" xfId="3709"/>
    <cellStyle name="표준 2 6 2 3 8 2" xfId="14960"/>
    <cellStyle name="표준 2 6 2 3 9" xfId="1902"/>
    <cellStyle name="표준 2 6 2 3 9 2" xfId="13329"/>
    <cellStyle name="표준 2 6 2 4" xfId="404"/>
    <cellStyle name="표준 2 6 2 4 2" xfId="1502"/>
    <cellStyle name="표준 2 6 2 4 2 2" xfId="4465"/>
    <cellStyle name="표준 2 6 2 4 2 2 2" xfId="5457"/>
    <cellStyle name="표준 2 6 2 4 2 2 2 2" xfId="10334"/>
    <cellStyle name="표준 2 6 2 4 2 2 2 2 2" xfId="21582"/>
    <cellStyle name="표준 2 6 2 4 2 2 2 3" xfId="7896"/>
    <cellStyle name="표준 2 6 2 4 2 2 2 3 2" xfId="19144"/>
    <cellStyle name="표준 2 6 2 4 2 2 2 4" xfId="16706"/>
    <cellStyle name="표준 2 6 2 4 2 2 3" xfId="9344"/>
    <cellStyle name="표준 2 6 2 4 2 2 3 2" xfId="20592"/>
    <cellStyle name="표준 2 6 2 4 2 2 4" xfId="6906"/>
    <cellStyle name="표준 2 6 2 4 2 2 4 2" xfId="18154"/>
    <cellStyle name="표준 2 6 2 4 2 2 5" xfId="15716"/>
    <cellStyle name="표준 2 6 2 4 2 3" xfId="5004"/>
    <cellStyle name="표준 2 6 2 4 2 3 2" xfId="9881"/>
    <cellStyle name="표준 2 6 2 4 2 3 2 2" xfId="21129"/>
    <cellStyle name="표준 2 6 2 4 2 3 3" xfId="7443"/>
    <cellStyle name="표준 2 6 2 4 2 3 3 2" xfId="18691"/>
    <cellStyle name="표준 2 6 2 4 2 3 4" xfId="16253"/>
    <cellStyle name="표준 2 6 2 4 2 4" xfId="8891"/>
    <cellStyle name="표준 2 6 2 4 2 4 2" xfId="20139"/>
    <cellStyle name="표준 2 6 2 4 2 5" xfId="6453"/>
    <cellStyle name="표준 2 6 2 4 2 5 2" xfId="17701"/>
    <cellStyle name="표준 2 6 2 4 2 6" xfId="4012"/>
    <cellStyle name="표준 2 6 2 4 2 6 2" xfId="15263"/>
    <cellStyle name="표준 2 6 2 4 2 7" xfId="3114"/>
    <cellStyle name="표준 2 6 2 4 2 7 2" xfId="14392"/>
    <cellStyle name="표준 2 6 2 4 2 8" xfId="12932"/>
    <cellStyle name="표준 2 6 2 4 3" xfId="1107"/>
    <cellStyle name="표준 2 6 2 4 3 2" xfId="5230"/>
    <cellStyle name="표준 2 6 2 4 3 2 2" xfId="10107"/>
    <cellStyle name="표준 2 6 2 4 3 2 2 2" xfId="21355"/>
    <cellStyle name="표준 2 6 2 4 3 2 3" xfId="7669"/>
    <cellStyle name="표준 2 6 2 4 3 2 3 2" xfId="18917"/>
    <cellStyle name="표준 2 6 2 4 3 2 4" xfId="16479"/>
    <cellStyle name="표준 2 6 2 4 3 3" xfId="9117"/>
    <cellStyle name="표준 2 6 2 4 3 3 2" xfId="20365"/>
    <cellStyle name="표준 2 6 2 4 3 4" xfId="6679"/>
    <cellStyle name="표준 2 6 2 4 3 4 2" xfId="17927"/>
    <cellStyle name="표준 2 6 2 4 3 5" xfId="4238"/>
    <cellStyle name="표준 2 6 2 4 3 5 2" xfId="15489"/>
    <cellStyle name="표준 2 6 2 4 3 6" xfId="2728"/>
    <cellStyle name="표준 2 6 2 4 3 6 2" xfId="14006"/>
    <cellStyle name="표준 2 6 2 4 3 7" xfId="12546"/>
    <cellStyle name="표준 2 6 2 4 4" xfId="4778"/>
    <cellStyle name="표준 2 6 2 4 4 2" xfId="9655"/>
    <cellStyle name="표준 2 6 2 4 4 2 2" xfId="20903"/>
    <cellStyle name="표준 2 6 2 4 4 3" xfId="7217"/>
    <cellStyle name="표준 2 6 2 4 4 3 2" xfId="18465"/>
    <cellStyle name="표준 2 6 2 4 4 4" xfId="16027"/>
    <cellStyle name="표준 2 6 2 4 5" xfId="8665"/>
    <cellStyle name="표준 2 6 2 4 5 2" xfId="19913"/>
    <cellStyle name="표준 2 6 2 4 6" xfId="6227"/>
    <cellStyle name="표준 2 6 2 4 6 2" xfId="17475"/>
    <cellStyle name="표준 2 6 2 4 7" xfId="3786"/>
    <cellStyle name="표준 2 6 2 4 7 2" xfId="15037"/>
    <cellStyle name="표준 2 6 2 4 8" xfId="2076"/>
    <cellStyle name="표준 2 6 2 4 8 2" xfId="13503"/>
    <cellStyle name="표준 2 6 2 4 9" xfId="12043"/>
    <cellStyle name="표준 2 6 2 5" xfId="351"/>
    <cellStyle name="표준 2 6 2 5 2" xfId="1749"/>
    <cellStyle name="표준 2 6 2 5 2 2" xfId="4489"/>
    <cellStyle name="표준 2 6 2 5 2 3" xfId="3361"/>
    <cellStyle name="표준 2 6 2 5 2 3 2" xfId="14639"/>
    <cellStyle name="표준 2 6 2 5 2 4" xfId="13179"/>
    <cellStyle name="표준 2 6 2 5 3" xfId="1367"/>
    <cellStyle name="표준 2 6 2 5 3 2" xfId="9695"/>
    <cellStyle name="표준 2 6 2 5 3 2 2" xfId="20943"/>
    <cellStyle name="표준 2 6 2 5 3 3" xfId="7257"/>
    <cellStyle name="표준 2 6 2 5 3 3 2" xfId="18505"/>
    <cellStyle name="표준 2 6 2 5 3 4" xfId="4818"/>
    <cellStyle name="표준 2 6 2 5 3 4 2" xfId="16067"/>
    <cellStyle name="표준 2 6 2 5 3 5" xfId="2988"/>
    <cellStyle name="표준 2 6 2 5 3 5 2" xfId="14266"/>
    <cellStyle name="표준 2 6 2 5 3 6" xfId="12806"/>
    <cellStyle name="표준 2 6 2 5 4" xfId="8705"/>
    <cellStyle name="표준 2 6 2 5 4 2" xfId="19953"/>
    <cellStyle name="표준 2 6 2 5 5" xfId="6267"/>
    <cellStyle name="표준 2 6 2 5 5 2" xfId="17515"/>
    <cellStyle name="표준 2 6 2 5 6" xfId="3826"/>
    <cellStyle name="표준 2 6 2 5 6 2" xfId="15077"/>
    <cellStyle name="표준 2 6 2 5 7" xfId="2023"/>
    <cellStyle name="표준 2 6 2 5 7 2" xfId="13450"/>
    <cellStyle name="표준 2 6 2 5 8" xfId="11990"/>
    <cellStyle name="표준 2 6 2 6" xfId="692"/>
    <cellStyle name="표준 2 6 2 6 2" xfId="1457"/>
    <cellStyle name="표준 2 6 2 6 2 2" xfId="10148"/>
    <cellStyle name="표준 2 6 2 6 2 2 2" xfId="21396"/>
    <cellStyle name="표준 2 6 2 6 2 3" xfId="7710"/>
    <cellStyle name="표준 2 6 2 6 2 3 2" xfId="18958"/>
    <cellStyle name="표준 2 6 2 6 2 4" xfId="5271"/>
    <cellStyle name="표준 2 6 2 6 2 4 2" xfId="16520"/>
    <cellStyle name="표준 2 6 2 6 2 5" xfId="3071"/>
    <cellStyle name="표준 2 6 2 6 2 5 2" xfId="14349"/>
    <cellStyle name="표준 2 6 2 6 2 6" xfId="12889"/>
    <cellStyle name="표준 2 6 2 6 3" xfId="9158"/>
    <cellStyle name="표준 2 6 2 6 3 2" xfId="20406"/>
    <cellStyle name="표준 2 6 2 6 4" xfId="6720"/>
    <cellStyle name="표준 2 6 2 6 4 2" xfId="17968"/>
    <cellStyle name="표준 2 6 2 6 5" xfId="4279"/>
    <cellStyle name="표준 2 6 2 6 5 2" xfId="15530"/>
    <cellStyle name="표준 2 6 2 6 6" xfId="2324"/>
    <cellStyle name="표준 2 6 2 6 6 2" xfId="13737"/>
    <cellStyle name="표준 2 6 2 6 7" xfId="12277"/>
    <cellStyle name="표준 2 6 2 7" xfId="1054"/>
    <cellStyle name="표준 2 6 2 7 2" xfId="5044"/>
    <cellStyle name="표준 2 6 2 7 2 2" xfId="9921"/>
    <cellStyle name="표준 2 6 2 7 2 2 2" xfId="21169"/>
    <cellStyle name="표준 2 6 2 7 2 3" xfId="7483"/>
    <cellStyle name="표준 2 6 2 7 2 3 2" xfId="18731"/>
    <cellStyle name="표준 2 6 2 7 2 4" xfId="16293"/>
    <cellStyle name="표준 2 6 2 7 3" xfId="8931"/>
    <cellStyle name="표준 2 6 2 7 3 2" xfId="20179"/>
    <cellStyle name="표준 2 6 2 7 4" xfId="6493"/>
    <cellStyle name="표준 2 6 2 7 4 2" xfId="17741"/>
    <cellStyle name="표준 2 6 2 7 5" xfId="4052"/>
    <cellStyle name="표준 2 6 2 7 5 2" xfId="15303"/>
    <cellStyle name="표준 2 6 2 7 6" xfId="2675"/>
    <cellStyle name="표준 2 6 2 7 6 2" xfId="13953"/>
    <cellStyle name="표준 2 6 2 7 7" xfId="12493"/>
    <cellStyle name="표준 2 6 2 8" xfId="990"/>
    <cellStyle name="표준 2 6 2 8 2" xfId="5551"/>
    <cellStyle name="표준 2 6 2 8 2 2" xfId="10428"/>
    <cellStyle name="표준 2 6 2 8 2 2 2" xfId="21676"/>
    <cellStyle name="표준 2 6 2 8 2 3" xfId="7990"/>
    <cellStyle name="표준 2 6 2 8 2 3 2" xfId="19238"/>
    <cellStyle name="표준 2 6 2 8 2 4" xfId="16800"/>
    <cellStyle name="표준 2 6 2 8 3" xfId="9438"/>
    <cellStyle name="표준 2 6 2 8 3 2" xfId="20686"/>
    <cellStyle name="표준 2 6 2 8 4" xfId="7000"/>
    <cellStyle name="표준 2 6 2 8 4 2" xfId="18248"/>
    <cellStyle name="표준 2 6 2 8 5" xfId="4561"/>
    <cellStyle name="표준 2 6 2 8 5 2" xfId="15810"/>
    <cellStyle name="표준 2 6 2 8 6" xfId="2611"/>
    <cellStyle name="표준 2 6 2 8 6 2" xfId="13889"/>
    <cellStyle name="표준 2 6 2 8 7" xfId="12429"/>
    <cellStyle name="표준 2 6 2 9" xfId="4592"/>
    <cellStyle name="표준 2 6 2 9 2" xfId="9469"/>
    <cellStyle name="표준 2 6 2 9 2 2" xfId="20717"/>
    <cellStyle name="표준 2 6 2 9 3" xfId="7031"/>
    <cellStyle name="표준 2 6 2 9 3 2" xfId="18279"/>
    <cellStyle name="표준 2 6 2 9 4" xfId="15841"/>
    <cellStyle name="표준 2 6 20" xfId="1771"/>
    <cellStyle name="표준 2 6 20 2" xfId="13200"/>
    <cellStyle name="표준 2 6 21" xfId="11740"/>
    <cellStyle name="표준 2 6 3" xfId="101"/>
    <cellStyle name="표준 2 6 3 2" xfId="257"/>
    <cellStyle name="표준 2 6 3 2 2" xfId="541"/>
    <cellStyle name="표준 2 6 3 2 2 2" xfId="1629"/>
    <cellStyle name="표준 2 6 3 2 2 2 2" xfId="10357"/>
    <cellStyle name="표준 2 6 3 2 2 2 2 2" xfId="21605"/>
    <cellStyle name="표준 2 6 3 2 2 2 3" xfId="3241"/>
    <cellStyle name="표준 2 6 3 2 2 2 3 2" xfId="14519"/>
    <cellStyle name="표준 2 6 3 2 2 2 4" xfId="13059"/>
    <cellStyle name="표준 2 6 3 2 2 3" xfId="7919"/>
    <cellStyle name="표준 2 6 3 2 2 3 2" xfId="19167"/>
    <cellStyle name="표준 2 6 3 2 2 4" xfId="5480"/>
    <cellStyle name="표준 2 6 3 2 2 4 2" xfId="16729"/>
    <cellStyle name="표준 2 6 3 2 2 5" xfId="2213"/>
    <cellStyle name="표준 2 6 3 2 2 5 2" xfId="13640"/>
    <cellStyle name="표준 2 6 3 2 2 6" xfId="12180"/>
    <cellStyle name="표준 2 6 3 2 3" xfId="1244"/>
    <cellStyle name="표준 2 6 3 2 3 2" xfId="9367"/>
    <cellStyle name="표준 2 6 3 2 3 2 2" xfId="20615"/>
    <cellStyle name="표준 2 6 3 2 3 3" xfId="2865"/>
    <cellStyle name="표준 2 6 3 2 3 3 2" xfId="14143"/>
    <cellStyle name="표준 2 6 3 2 3 4" xfId="12683"/>
    <cellStyle name="표준 2 6 3 2 4" xfId="6929"/>
    <cellStyle name="표준 2 6 3 2 4 2" xfId="18177"/>
    <cellStyle name="표준 2 6 3 2 5" xfId="11060"/>
    <cellStyle name="표준 2 6 3 2 5 2" xfId="22307"/>
    <cellStyle name="표준 2 6 3 2 6" xfId="4488"/>
    <cellStyle name="표준 2 6 3 2 6 2" xfId="15739"/>
    <cellStyle name="표준 2 6 3 2 7" xfId="1929"/>
    <cellStyle name="표준 2 6 3 2 7 2" xfId="13356"/>
    <cellStyle name="표준 2 6 3 2 8" xfId="11896"/>
    <cellStyle name="표준 2 6 3 3" xfId="431"/>
    <cellStyle name="표준 2 6 3 3 2" xfId="1524"/>
    <cellStyle name="표준 2 6 3 3 2 2" xfId="3136"/>
    <cellStyle name="표준 2 6 3 3 2 2 2" xfId="14414"/>
    <cellStyle name="표준 2 6 3 3 2 3" xfId="12954"/>
    <cellStyle name="표준 2 6 3 3 3" xfId="3669"/>
    <cellStyle name="표준 2 6 3 3 4" xfId="2103"/>
    <cellStyle name="표준 2 6 3 3 4 2" xfId="13530"/>
    <cellStyle name="표준 2 6 3 3 5" xfId="12070"/>
    <cellStyle name="표준 2 6 3 4" xfId="803"/>
    <cellStyle name="표준 2 6 3 4 2" xfId="1134"/>
    <cellStyle name="표준 2 6 3 4 2 2" xfId="2755"/>
    <cellStyle name="표준 2 6 3 4 2 2 2" xfId="14033"/>
    <cellStyle name="표준 2 6 3 4 2 3" xfId="12573"/>
    <cellStyle name="표준 2 6 3 4 3" xfId="8429"/>
    <cellStyle name="표준 2 6 3 4 3 2" xfId="19677"/>
    <cellStyle name="표준 2 6 3 4 4" xfId="2430"/>
    <cellStyle name="표준 2 6 3 4 4 2" xfId="13825"/>
    <cellStyle name="표준 2 6 3 4 5" xfId="12365"/>
    <cellStyle name="표준 2 6 3 5" xfId="960"/>
    <cellStyle name="표준 2 6 3 5 2" xfId="5991"/>
    <cellStyle name="표준 2 6 3 5 2 2" xfId="17239"/>
    <cellStyle name="표준 2 6 3 5 3" xfId="2582"/>
    <cellStyle name="표준 2 6 3 5 3 2" xfId="13860"/>
    <cellStyle name="표준 2 6 3 5 4" xfId="12400"/>
    <cellStyle name="표준 2 6 3 6" xfId="10875"/>
    <cellStyle name="표준 2 6 3 6 2" xfId="22123"/>
    <cellStyle name="표준 2 6 3 7" xfId="3529"/>
    <cellStyle name="표준 2 6 3 7 2" xfId="14801"/>
    <cellStyle name="표준 2 6 3 8" xfId="1817"/>
    <cellStyle name="표준 2 6 3 8 2" xfId="13246"/>
    <cellStyle name="표준 2 6 3 9" xfId="11786"/>
    <cellStyle name="표준 2 6 4" xfId="211"/>
    <cellStyle name="표준 2 6 4 10" xfId="1883"/>
    <cellStyle name="표준 2 6 4 10 2" xfId="13310"/>
    <cellStyle name="표준 2 6 4 11" xfId="11850"/>
    <cellStyle name="표준 2 6 4 2" xfId="495"/>
    <cellStyle name="표준 2 6 4 2 2" xfId="1583"/>
    <cellStyle name="표준 2 6 4 2 2 2" xfId="4482"/>
    <cellStyle name="표준 2 6 4 2 2 2 2" xfId="5474"/>
    <cellStyle name="표준 2 6 4 2 2 2 2 2" xfId="10351"/>
    <cellStyle name="표준 2 6 4 2 2 2 2 2 2" xfId="21599"/>
    <cellStyle name="표준 2 6 4 2 2 2 2 3" xfId="7913"/>
    <cellStyle name="표준 2 6 4 2 2 2 2 3 2" xfId="19161"/>
    <cellStyle name="표준 2 6 4 2 2 2 2 4" xfId="16723"/>
    <cellStyle name="표준 2 6 4 2 2 2 3" xfId="9361"/>
    <cellStyle name="표준 2 6 4 2 2 2 3 2" xfId="20609"/>
    <cellStyle name="표준 2 6 4 2 2 2 4" xfId="6923"/>
    <cellStyle name="표준 2 6 4 2 2 2 4 2" xfId="18171"/>
    <cellStyle name="표준 2 6 4 2 2 2 5" xfId="15733"/>
    <cellStyle name="표준 2 6 4 2 2 3" xfId="5021"/>
    <cellStyle name="표준 2 6 4 2 2 3 2" xfId="9898"/>
    <cellStyle name="표준 2 6 4 2 2 3 2 2" xfId="21146"/>
    <cellStyle name="표준 2 6 4 2 2 3 3" xfId="7460"/>
    <cellStyle name="표준 2 6 4 2 2 3 3 2" xfId="18708"/>
    <cellStyle name="표준 2 6 4 2 2 3 4" xfId="16270"/>
    <cellStyle name="표준 2 6 4 2 2 4" xfId="8908"/>
    <cellStyle name="표준 2 6 4 2 2 4 2" xfId="20156"/>
    <cellStyle name="표준 2 6 4 2 2 5" xfId="6470"/>
    <cellStyle name="표준 2 6 4 2 2 5 2" xfId="17718"/>
    <cellStyle name="표준 2 6 4 2 2 6" xfId="4029"/>
    <cellStyle name="표준 2 6 4 2 2 6 2" xfId="15280"/>
    <cellStyle name="표준 2 6 4 2 2 7" xfId="3195"/>
    <cellStyle name="표준 2 6 4 2 2 7 2" xfId="14473"/>
    <cellStyle name="표준 2 6 4 2 2 8" xfId="13013"/>
    <cellStyle name="표준 2 6 4 2 3" xfId="4255"/>
    <cellStyle name="표준 2 6 4 2 3 2" xfId="5247"/>
    <cellStyle name="표준 2 6 4 2 3 2 2" xfId="10124"/>
    <cellStyle name="표준 2 6 4 2 3 2 2 2" xfId="21372"/>
    <cellStyle name="표준 2 6 4 2 3 2 3" xfId="7686"/>
    <cellStyle name="표준 2 6 4 2 3 2 3 2" xfId="18934"/>
    <cellStyle name="표준 2 6 4 2 3 2 4" xfId="16496"/>
    <cellStyle name="표준 2 6 4 2 3 3" xfId="9134"/>
    <cellStyle name="표준 2 6 4 2 3 3 2" xfId="20382"/>
    <cellStyle name="표준 2 6 4 2 3 4" xfId="6696"/>
    <cellStyle name="표준 2 6 4 2 3 4 2" xfId="17944"/>
    <cellStyle name="표준 2 6 4 2 3 5" xfId="15506"/>
    <cellStyle name="표준 2 6 4 2 4" xfId="4795"/>
    <cellStyle name="표준 2 6 4 2 4 2" xfId="9672"/>
    <cellStyle name="표준 2 6 4 2 4 2 2" xfId="20920"/>
    <cellStyle name="표준 2 6 4 2 4 3" xfId="7234"/>
    <cellStyle name="표준 2 6 4 2 4 3 2" xfId="18482"/>
    <cellStyle name="표준 2 6 4 2 4 4" xfId="16044"/>
    <cellStyle name="표준 2 6 4 2 5" xfId="8682"/>
    <cellStyle name="표준 2 6 4 2 5 2" xfId="19930"/>
    <cellStyle name="표준 2 6 4 2 6" xfId="6244"/>
    <cellStyle name="표준 2 6 4 2 6 2" xfId="17492"/>
    <cellStyle name="표준 2 6 4 2 7" xfId="3803"/>
    <cellStyle name="표준 2 6 4 2 7 2" xfId="15054"/>
    <cellStyle name="표준 2 6 4 2 8" xfId="2167"/>
    <cellStyle name="표준 2 6 4 2 8 2" xfId="13594"/>
    <cellStyle name="표준 2 6 4 2 9" xfId="12134"/>
    <cellStyle name="표준 2 6 4 3" xfId="1198"/>
    <cellStyle name="표준 2 6 4 3 2" xfId="4291"/>
    <cellStyle name="표준 2 6 4 3 2 2" xfId="5283"/>
    <cellStyle name="표준 2 6 4 3 2 2 2" xfId="10160"/>
    <cellStyle name="표준 2 6 4 3 2 2 2 2" xfId="21408"/>
    <cellStyle name="표준 2 6 4 3 2 2 3" xfId="7722"/>
    <cellStyle name="표준 2 6 4 3 2 2 3 2" xfId="18970"/>
    <cellStyle name="표준 2 6 4 3 2 2 4" xfId="16532"/>
    <cellStyle name="표준 2 6 4 3 2 3" xfId="9170"/>
    <cellStyle name="표준 2 6 4 3 2 3 2" xfId="20418"/>
    <cellStyle name="표준 2 6 4 3 2 4" xfId="6732"/>
    <cellStyle name="표준 2 6 4 3 2 4 2" xfId="17980"/>
    <cellStyle name="표준 2 6 4 3 2 5" xfId="15542"/>
    <cellStyle name="표준 2 6 4 3 3" xfId="4830"/>
    <cellStyle name="표준 2 6 4 3 3 2" xfId="9707"/>
    <cellStyle name="표준 2 6 4 3 3 2 2" xfId="20955"/>
    <cellStyle name="표준 2 6 4 3 3 3" xfId="7269"/>
    <cellStyle name="표준 2 6 4 3 3 3 2" xfId="18517"/>
    <cellStyle name="표준 2 6 4 3 3 4" xfId="16079"/>
    <cellStyle name="표준 2 6 4 3 4" xfId="8717"/>
    <cellStyle name="표준 2 6 4 3 4 2" xfId="19965"/>
    <cellStyle name="표준 2 6 4 3 5" xfId="6279"/>
    <cellStyle name="표준 2 6 4 3 5 2" xfId="17527"/>
    <cellStyle name="표준 2 6 4 3 6" xfId="3838"/>
    <cellStyle name="표준 2 6 4 3 6 2" xfId="15089"/>
    <cellStyle name="표준 2 6 4 3 7" xfId="2819"/>
    <cellStyle name="표준 2 6 4 3 7 2" xfId="14097"/>
    <cellStyle name="표준 2 6 4 3 8" xfId="12637"/>
    <cellStyle name="표준 2 6 4 4" xfId="4064"/>
    <cellStyle name="표준 2 6 4 4 2" xfId="5056"/>
    <cellStyle name="표준 2 6 4 4 2 2" xfId="9933"/>
    <cellStyle name="표준 2 6 4 4 2 2 2" xfId="21181"/>
    <cellStyle name="표준 2 6 4 4 2 3" xfId="7495"/>
    <cellStyle name="표준 2 6 4 4 2 3 2" xfId="18743"/>
    <cellStyle name="표준 2 6 4 4 2 4" xfId="16305"/>
    <cellStyle name="표준 2 6 4 4 3" xfId="8943"/>
    <cellStyle name="표준 2 6 4 4 3 2" xfId="20191"/>
    <cellStyle name="표준 2 6 4 4 4" xfId="6505"/>
    <cellStyle name="표준 2 6 4 4 4 2" xfId="17753"/>
    <cellStyle name="표준 2 6 4 4 5" xfId="15315"/>
    <cellStyle name="표준 2 6 4 5" xfId="4604"/>
    <cellStyle name="표준 2 6 4 5 2" xfId="9481"/>
    <cellStyle name="표준 2 6 4 5 2 2" xfId="20729"/>
    <cellStyle name="표준 2 6 4 5 3" xfId="7043"/>
    <cellStyle name="표준 2 6 4 5 3 2" xfId="18291"/>
    <cellStyle name="표준 2 6 4 5 4" xfId="15853"/>
    <cellStyle name="표준 2 6 4 6" xfId="8544"/>
    <cellStyle name="표준 2 6 4 6 2" xfId="19792"/>
    <cellStyle name="표준 2 6 4 7" xfId="6106"/>
    <cellStyle name="표준 2 6 4 7 2" xfId="17354"/>
    <cellStyle name="표준 2 6 4 8" xfId="10977"/>
    <cellStyle name="표준 2 6 4 8 2" xfId="22224"/>
    <cellStyle name="표준 2 6 4 9" xfId="3647"/>
    <cellStyle name="표준 2 6 4 9 2" xfId="14916"/>
    <cellStyle name="표준 2 6 5" xfId="385"/>
    <cellStyle name="표준 2 6 5 2" xfId="1483"/>
    <cellStyle name="표준 2 6 5 2 2" xfId="4378"/>
    <cellStyle name="표준 2 6 5 2 2 2" xfId="5370"/>
    <cellStyle name="표준 2 6 5 2 2 2 2" xfId="10247"/>
    <cellStyle name="표준 2 6 5 2 2 2 2 2" xfId="21495"/>
    <cellStyle name="표준 2 6 5 2 2 2 3" xfId="7809"/>
    <cellStyle name="표준 2 6 5 2 2 2 3 2" xfId="19057"/>
    <cellStyle name="표준 2 6 5 2 2 2 4" xfId="16619"/>
    <cellStyle name="표준 2 6 5 2 2 3" xfId="9257"/>
    <cellStyle name="표준 2 6 5 2 2 3 2" xfId="20505"/>
    <cellStyle name="표준 2 6 5 2 2 4" xfId="6819"/>
    <cellStyle name="표준 2 6 5 2 2 4 2" xfId="18067"/>
    <cellStyle name="표준 2 6 5 2 2 5" xfId="15629"/>
    <cellStyle name="표준 2 6 5 2 3" xfId="4917"/>
    <cellStyle name="표준 2 6 5 2 3 2" xfId="9794"/>
    <cellStyle name="표준 2 6 5 2 3 2 2" xfId="21042"/>
    <cellStyle name="표준 2 6 5 2 3 3" xfId="7356"/>
    <cellStyle name="표준 2 6 5 2 3 3 2" xfId="18604"/>
    <cellStyle name="표준 2 6 5 2 3 4" xfId="16166"/>
    <cellStyle name="표준 2 6 5 2 4" xfId="8804"/>
    <cellStyle name="표준 2 6 5 2 4 2" xfId="20052"/>
    <cellStyle name="표준 2 6 5 2 5" xfId="6366"/>
    <cellStyle name="표준 2 6 5 2 5 2" xfId="17614"/>
    <cellStyle name="표준 2 6 5 2 6" xfId="3925"/>
    <cellStyle name="표준 2 6 5 2 6 2" xfId="15176"/>
    <cellStyle name="표준 2 6 5 2 7" xfId="3095"/>
    <cellStyle name="표준 2 6 5 2 7 2" xfId="14373"/>
    <cellStyle name="표준 2 6 5 2 8" xfId="12913"/>
    <cellStyle name="표준 2 6 5 3" xfId="1088"/>
    <cellStyle name="표준 2 6 5 3 2" xfId="5143"/>
    <cellStyle name="표준 2 6 5 3 2 2" xfId="10020"/>
    <cellStyle name="표준 2 6 5 3 2 2 2" xfId="21268"/>
    <cellStyle name="표준 2 6 5 3 2 3" xfId="7582"/>
    <cellStyle name="표준 2 6 5 3 2 3 2" xfId="18830"/>
    <cellStyle name="표준 2 6 5 3 2 4" xfId="16392"/>
    <cellStyle name="표준 2 6 5 3 3" xfId="9030"/>
    <cellStyle name="표준 2 6 5 3 3 2" xfId="20278"/>
    <cellStyle name="표준 2 6 5 3 4" xfId="6592"/>
    <cellStyle name="표준 2 6 5 3 4 2" xfId="17840"/>
    <cellStyle name="표준 2 6 5 3 5" xfId="4151"/>
    <cellStyle name="표준 2 6 5 3 5 2" xfId="15402"/>
    <cellStyle name="표준 2 6 5 3 6" xfId="2709"/>
    <cellStyle name="표준 2 6 5 3 6 2" xfId="13987"/>
    <cellStyle name="표준 2 6 5 3 7" xfId="12527"/>
    <cellStyle name="표준 2 6 5 4" xfId="4691"/>
    <cellStyle name="표준 2 6 5 4 2" xfId="9568"/>
    <cellStyle name="표준 2 6 5 4 2 2" xfId="20816"/>
    <cellStyle name="표준 2 6 5 4 3" xfId="7130"/>
    <cellStyle name="표준 2 6 5 4 3 2" xfId="18378"/>
    <cellStyle name="표준 2 6 5 4 4" xfId="15940"/>
    <cellStyle name="표준 2 6 5 5" xfId="8587"/>
    <cellStyle name="표준 2 6 5 5 2" xfId="19835"/>
    <cellStyle name="표준 2 6 5 6" xfId="6149"/>
    <cellStyle name="표준 2 6 5 6 2" xfId="17397"/>
    <cellStyle name="표준 2 6 5 7" xfId="3708"/>
    <cellStyle name="표준 2 6 5 7 2" xfId="14959"/>
    <cellStyle name="표준 2 6 5 8" xfId="2057"/>
    <cellStyle name="표준 2 6 5 8 2" xfId="13484"/>
    <cellStyle name="표준 2 6 5 9" xfId="12024"/>
    <cellStyle name="표준 2 6 6" xfId="321"/>
    <cellStyle name="표준 2 6 6 2" xfId="1748"/>
    <cellStyle name="표준 2 6 6 2 2" xfId="4464"/>
    <cellStyle name="표준 2 6 6 2 2 2" xfId="5456"/>
    <cellStyle name="표준 2 6 6 2 2 2 2" xfId="10333"/>
    <cellStyle name="표준 2 6 6 2 2 2 2 2" xfId="21581"/>
    <cellStyle name="표준 2 6 6 2 2 2 3" xfId="7895"/>
    <cellStyle name="표준 2 6 6 2 2 2 3 2" xfId="19143"/>
    <cellStyle name="표준 2 6 6 2 2 2 4" xfId="16705"/>
    <cellStyle name="표준 2 6 6 2 2 3" xfId="9343"/>
    <cellStyle name="표준 2 6 6 2 2 3 2" xfId="20591"/>
    <cellStyle name="표준 2 6 6 2 2 4" xfId="6905"/>
    <cellStyle name="표준 2 6 6 2 2 4 2" xfId="18153"/>
    <cellStyle name="표준 2 6 6 2 2 5" xfId="15715"/>
    <cellStyle name="표준 2 6 6 2 3" xfId="5003"/>
    <cellStyle name="표준 2 6 6 2 3 2" xfId="9880"/>
    <cellStyle name="표준 2 6 6 2 3 2 2" xfId="21128"/>
    <cellStyle name="표준 2 6 6 2 3 3" xfId="7442"/>
    <cellStyle name="표준 2 6 6 2 3 3 2" xfId="18690"/>
    <cellStyle name="표준 2 6 6 2 3 4" xfId="16252"/>
    <cellStyle name="표준 2 6 6 2 4" xfId="8890"/>
    <cellStyle name="표준 2 6 6 2 4 2" xfId="20138"/>
    <cellStyle name="표준 2 6 6 2 5" xfId="6452"/>
    <cellStyle name="표준 2 6 6 2 5 2" xfId="17700"/>
    <cellStyle name="표준 2 6 6 2 6" xfId="4011"/>
    <cellStyle name="표준 2 6 6 2 6 2" xfId="15262"/>
    <cellStyle name="표준 2 6 6 2 7" xfId="3360"/>
    <cellStyle name="표준 2 6 6 2 7 2" xfId="14638"/>
    <cellStyle name="표준 2 6 6 2 8" xfId="13178"/>
    <cellStyle name="표준 2 6 6 3" xfId="1366"/>
    <cellStyle name="표준 2 6 6 3 2" xfId="5229"/>
    <cellStyle name="표준 2 6 6 3 2 2" xfId="10106"/>
    <cellStyle name="표준 2 6 6 3 2 2 2" xfId="21354"/>
    <cellStyle name="표준 2 6 6 3 2 3" xfId="7668"/>
    <cellStyle name="표준 2 6 6 3 2 3 2" xfId="18916"/>
    <cellStyle name="표준 2 6 6 3 2 4" xfId="16478"/>
    <cellStyle name="표준 2 6 6 3 3" xfId="9116"/>
    <cellStyle name="표준 2 6 6 3 3 2" xfId="20364"/>
    <cellStyle name="표준 2 6 6 3 4" xfId="6678"/>
    <cellStyle name="표준 2 6 6 3 4 2" xfId="17926"/>
    <cellStyle name="표준 2 6 6 3 5" xfId="4237"/>
    <cellStyle name="표준 2 6 6 3 5 2" xfId="15488"/>
    <cellStyle name="표준 2 6 6 3 6" xfId="2987"/>
    <cellStyle name="표준 2 6 6 3 6 2" xfId="14265"/>
    <cellStyle name="표준 2 6 6 3 7" xfId="12805"/>
    <cellStyle name="표준 2 6 6 4" xfId="4777"/>
    <cellStyle name="표준 2 6 6 4 2" xfId="9654"/>
    <cellStyle name="표준 2 6 6 4 2 2" xfId="20902"/>
    <cellStyle name="표준 2 6 6 4 3" xfId="7216"/>
    <cellStyle name="표준 2 6 6 4 3 2" xfId="18464"/>
    <cellStyle name="표준 2 6 6 4 4" xfId="16026"/>
    <cellStyle name="표준 2 6 6 5" xfId="8664"/>
    <cellStyle name="표준 2 6 6 5 2" xfId="19912"/>
    <cellStyle name="표준 2 6 6 6" xfId="6226"/>
    <cellStyle name="표준 2 6 6 6 2" xfId="17474"/>
    <cellStyle name="표준 2 6 6 7" xfId="3785"/>
    <cellStyle name="표준 2 6 6 7 2" xfId="15036"/>
    <cellStyle name="표준 2 6 6 8" xfId="1993"/>
    <cellStyle name="표준 2 6 6 8 2" xfId="13420"/>
    <cellStyle name="표준 2 6 6 9" xfId="11960"/>
    <cellStyle name="표준 2 6 7" xfId="614"/>
    <cellStyle name="표준 2 6 7 2" xfId="1456"/>
    <cellStyle name="표준 2 6 7 2 2" xfId="5261"/>
    <cellStyle name="표준 2 6 7 2 2 2" xfId="10138"/>
    <cellStyle name="표준 2 6 7 2 2 2 2" xfId="21386"/>
    <cellStyle name="표준 2 6 7 2 2 3" xfId="7700"/>
    <cellStyle name="표준 2 6 7 2 2 3 2" xfId="18948"/>
    <cellStyle name="표준 2 6 7 2 2 4" xfId="16510"/>
    <cellStyle name="표준 2 6 7 2 3" xfId="9148"/>
    <cellStyle name="표준 2 6 7 2 3 2" xfId="20396"/>
    <cellStyle name="표준 2 6 7 2 4" xfId="6710"/>
    <cellStyle name="표준 2 6 7 2 4 2" xfId="17958"/>
    <cellStyle name="표준 2 6 7 2 5" xfId="4269"/>
    <cellStyle name="표준 2 6 7 2 5 2" xfId="15520"/>
    <cellStyle name="표준 2 6 7 2 6" xfId="3070"/>
    <cellStyle name="표준 2 6 7 2 6 2" xfId="14348"/>
    <cellStyle name="표준 2 6 7 2 7" xfId="12888"/>
    <cellStyle name="표준 2 6 7 3" xfId="4808"/>
    <cellStyle name="표준 2 6 7 3 2" xfId="9685"/>
    <cellStyle name="표준 2 6 7 3 2 2" xfId="20933"/>
    <cellStyle name="표준 2 6 7 3 3" xfId="7247"/>
    <cellStyle name="표준 2 6 7 3 3 2" xfId="18495"/>
    <cellStyle name="표준 2 6 7 3 4" xfId="16057"/>
    <cellStyle name="표준 2 6 7 4" xfId="8695"/>
    <cellStyle name="표준 2 6 7 4 2" xfId="19943"/>
    <cellStyle name="표준 2 6 7 5" xfId="6257"/>
    <cellStyle name="표준 2 6 7 5 2" xfId="17505"/>
    <cellStyle name="표준 2 6 7 6" xfId="3816"/>
    <cellStyle name="표준 2 6 7 6 2" xfId="15067"/>
    <cellStyle name="표준 2 6 7 7" xfId="2286"/>
    <cellStyle name="표준 2 6 7 7 2" xfId="13705"/>
    <cellStyle name="표준 2 6 7 8" xfId="12245"/>
    <cellStyle name="표준 2 6 8" xfId="1024"/>
    <cellStyle name="표준 2 6 8 2" xfId="5034"/>
    <cellStyle name="표준 2 6 8 2 2" xfId="9911"/>
    <cellStyle name="표준 2 6 8 2 2 2" xfId="21159"/>
    <cellStyle name="표준 2 6 8 2 3" xfId="7473"/>
    <cellStyle name="표준 2 6 8 2 3 2" xfId="18721"/>
    <cellStyle name="표준 2 6 8 2 4" xfId="16283"/>
    <cellStyle name="표준 2 6 8 3" xfId="8921"/>
    <cellStyle name="표준 2 6 8 3 2" xfId="20169"/>
    <cellStyle name="표준 2 6 8 4" xfId="6483"/>
    <cellStyle name="표준 2 6 8 4 2" xfId="17731"/>
    <cellStyle name="표준 2 6 8 5" xfId="4042"/>
    <cellStyle name="표준 2 6 8 5 2" xfId="15293"/>
    <cellStyle name="표준 2 6 8 6" xfId="2645"/>
    <cellStyle name="표준 2 6 8 6 2" xfId="13923"/>
    <cellStyle name="표준 2 6 8 7" xfId="12463"/>
    <cellStyle name="표준 2 6 9" xfId="945"/>
    <cellStyle name="표준 2 6 9 2" xfId="5550"/>
    <cellStyle name="표준 2 6 9 2 2" xfId="10427"/>
    <cellStyle name="표준 2 6 9 2 2 2" xfId="21675"/>
    <cellStyle name="표준 2 6 9 2 3" xfId="7989"/>
    <cellStyle name="표준 2 6 9 2 3 2" xfId="19237"/>
    <cellStyle name="표준 2 6 9 2 4" xfId="16799"/>
    <cellStyle name="표준 2 6 9 3" xfId="9437"/>
    <cellStyle name="표준 2 6 9 3 2" xfId="20685"/>
    <cellStyle name="표준 2 6 9 4" xfId="6999"/>
    <cellStyle name="표준 2 6 9 4 2" xfId="18247"/>
    <cellStyle name="표준 2 6 9 5" xfId="4560"/>
    <cellStyle name="표준 2 6 9 5 2" xfId="15809"/>
    <cellStyle name="표준 2 7" xfId="60"/>
    <cellStyle name="표준 2 7 10" xfId="5636"/>
    <cellStyle name="표준 2 7 10 2" xfId="10513"/>
    <cellStyle name="표준 2 7 10 2 2" xfId="21761"/>
    <cellStyle name="표준 2 7 10 3" xfId="8075"/>
    <cellStyle name="표준 2 7 10 3 2" xfId="19323"/>
    <cellStyle name="표준 2 7 10 4" xfId="16885"/>
    <cellStyle name="표준 2 7 11" xfId="5660"/>
    <cellStyle name="표준 2 7 11 2" xfId="10537"/>
    <cellStyle name="표준 2 7 11 2 2" xfId="21785"/>
    <cellStyle name="표준 2 7 11 3" xfId="8099"/>
    <cellStyle name="표준 2 7 11 3 2" xfId="19347"/>
    <cellStyle name="표준 2 7 11 4" xfId="16909"/>
    <cellStyle name="표준 2 7 12" xfId="5742"/>
    <cellStyle name="표준 2 7 12 2" xfId="10619"/>
    <cellStyle name="표준 2 7 12 2 2" xfId="21867"/>
    <cellStyle name="표준 2 7 12 3" xfId="8181"/>
    <cellStyle name="표준 2 7 12 3 2" xfId="19429"/>
    <cellStyle name="표준 2 7 12 4" xfId="16991"/>
    <cellStyle name="표준 2 7 13" xfId="5825"/>
    <cellStyle name="표준 2 7 13 2" xfId="10702"/>
    <cellStyle name="표준 2 7 13 2 2" xfId="21950"/>
    <cellStyle name="표준 2 7 13 3" xfId="8264"/>
    <cellStyle name="표준 2 7 13 3 2" xfId="19512"/>
    <cellStyle name="표준 2 7 13 4" xfId="17074"/>
    <cellStyle name="표준 2 7 14" xfId="3628"/>
    <cellStyle name="표준 2 7 14 2" xfId="8527"/>
    <cellStyle name="표준 2 7 14 2 2" xfId="19775"/>
    <cellStyle name="표준 2 7 14 3" xfId="6089"/>
    <cellStyle name="표준 2 7 14 3 2" xfId="17337"/>
    <cellStyle name="표준 2 7 14 4" xfId="14899"/>
    <cellStyle name="표준 2 7 15" xfId="8348"/>
    <cellStyle name="표준 2 7 15 2" xfId="19596"/>
    <cellStyle name="표준 2 7 16" xfId="5910"/>
    <cellStyle name="표준 2 7 16 2" xfId="17158"/>
    <cellStyle name="표준 2 7 17" xfId="10794"/>
    <cellStyle name="표준 2 7 17 2" xfId="22042"/>
    <cellStyle name="표준 2 7 18" xfId="3442"/>
    <cellStyle name="표준 2 7 18 2" xfId="14720"/>
    <cellStyle name="표준 2 7 19" xfId="1776"/>
    <cellStyle name="표준 2 7 19 2" xfId="13205"/>
    <cellStyle name="표준 2 7 2" xfId="79"/>
    <cellStyle name="표준 2 7 2 10" xfId="8349"/>
    <cellStyle name="표준 2 7 2 10 2" xfId="19597"/>
    <cellStyle name="표준 2 7 2 11" xfId="5911"/>
    <cellStyle name="표준 2 7 2 11 2" xfId="17159"/>
    <cellStyle name="표준 2 7 2 12" xfId="10795"/>
    <cellStyle name="표준 2 7 2 12 2" xfId="22043"/>
    <cellStyle name="표준 2 7 2 13" xfId="3443"/>
    <cellStyle name="표준 2 7 2 13 2" xfId="14721"/>
    <cellStyle name="표준 2 7 2 14" xfId="1795"/>
    <cellStyle name="표준 2 7 2 14 2" xfId="13224"/>
    <cellStyle name="표준 2 7 2 15" xfId="11764"/>
    <cellStyle name="표준 2 7 2 2" xfId="180"/>
    <cellStyle name="표준 2 7 2 2 10" xfId="1854"/>
    <cellStyle name="표준 2 7 2 2 10 2" xfId="13281"/>
    <cellStyle name="표준 2 7 2 2 11" xfId="11821"/>
    <cellStyle name="표준 2 7 2 2 2" xfId="292"/>
    <cellStyle name="표준 2 7 2 2 2 2" xfId="576"/>
    <cellStyle name="표준 2 7 2 2 2 2 2" xfId="1664"/>
    <cellStyle name="표준 2 7 2 2 2 2 2 2" xfId="10250"/>
    <cellStyle name="표준 2 7 2 2 2 2 2 2 2" xfId="21498"/>
    <cellStyle name="표준 2 7 2 2 2 2 2 3" xfId="7812"/>
    <cellStyle name="표준 2 7 2 2 2 2 2 3 2" xfId="19060"/>
    <cellStyle name="표준 2 7 2 2 2 2 2 4" xfId="5373"/>
    <cellStyle name="표준 2 7 2 2 2 2 2 4 2" xfId="16622"/>
    <cellStyle name="표준 2 7 2 2 2 2 2 5" xfId="3276"/>
    <cellStyle name="표준 2 7 2 2 2 2 2 5 2" xfId="14554"/>
    <cellStyle name="표준 2 7 2 2 2 2 2 6" xfId="13094"/>
    <cellStyle name="표준 2 7 2 2 2 2 3" xfId="9260"/>
    <cellStyle name="표준 2 7 2 2 2 2 3 2" xfId="20508"/>
    <cellStyle name="표준 2 7 2 2 2 2 4" xfId="6822"/>
    <cellStyle name="표준 2 7 2 2 2 2 4 2" xfId="18070"/>
    <cellStyle name="표준 2 7 2 2 2 2 5" xfId="4381"/>
    <cellStyle name="표준 2 7 2 2 2 2 5 2" xfId="15632"/>
    <cellStyle name="표준 2 7 2 2 2 2 6" xfId="2248"/>
    <cellStyle name="표준 2 7 2 2 2 2 6 2" xfId="13675"/>
    <cellStyle name="표준 2 7 2 2 2 2 7" xfId="12215"/>
    <cellStyle name="표준 2 7 2 2 2 3" xfId="1279"/>
    <cellStyle name="표준 2 7 2 2 2 3 2" xfId="9797"/>
    <cellStyle name="표준 2 7 2 2 2 3 2 2" xfId="21045"/>
    <cellStyle name="표준 2 7 2 2 2 3 3" xfId="7359"/>
    <cellStyle name="표준 2 7 2 2 2 3 3 2" xfId="18607"/>
    <cellStyle name="표준 2 7 2 2 2 3 4" xfId="4920"/>
    <cellStyle name="표준 2 7 2 2 2 3 4 2" xfId="16169"/>
    <cellStyle name="표준 2 7 2 2 2 3 5" xfId="2900"/>
    <cellStyle name="표준 2 7 2 2 2 3 5 2" xfId="14178"/>
    <cellStyle name="표준 2 7 2 2 2 3 6" xfId="12718"/>
    <cellStyle name="표준 2 7 2 2 2 4" xfId="8807"/>
    <cellStyle name="표준 2 7 2 2 2 4 2" xfId="20055"/>
    <cellStyle name="표준 2 7 2 2 2 5" xfId="6369"/>
    <cellStyle name="표준 2 7 2 2 2 5 2" xfId="17617"/>
    <cellStyle name="표준 2 7 2 2 2 6" xfId="11063"/>
    <cellStyle name="표준 2 7 2 2 2 6 2" xfId="22310"/>
    <cellStyle name="표준 2 7 2 2 2 7" xfId="3928"/>
    <cellStyle name="표준 2 7 2 2 2 7 2" xfId="15179"/>
    <cellStyle name="표준 2 7 2 2 2 8" xfId="1964"/>
    <cellStyle name="표준 2 7 2 2 2 8 2" xfId="13391"/>
    <cellStyle name="표준 2 7 2 2 2 9" xfId="11931"/>
    <cellStyle name="표준 2 7 2 2 3" xfId="466"/>
    <cellStyle name="표준 2 7 2 2 3 2" xfId="1559"/>
    <cellStyle name="표준 2 7 2 2 3 2 2" xfId="10023"/>
    <cellStyle name="표준 2 7 2 2 3 2 2 2" xfId="21271"/>
    <cellStyle name="표준 2 7 2 2 3 2 3" xfId="7585"/>
    <cellStyle name="표준 2 7 2 2 3 2 3 2" xfId="18833"/>
    <cellStyle name="표준 2 7 2 2 3 2 4" xfId="5146"/>
    <cellStyle name="표준 2 7 2 2 3 2 4 2" xfId="16395"/>
    <cellStyle name="표준 2 7 2 2 3 2 5" xfId="3171"/>
    <cellStyle name="표준 2 7 2 2 3 2 5 2" xfId="14449"/>
    <cellStyle name="표준 2 7 2 2 3 2 6" xfId="12989"/>
    <cellStyle name="표준 2 7 2 2 3 3" xfId="9033"/>
    <cellStyle name="표준 2 7 2 2 3 3 2" xfId="20281"/>
    <cellStyle name="표준 2 7 2 2 3 4" xfId="6595"/>
    <cellStyle name="표준 2 7 2 2 3 4 2" xfId="17843"/>
    <cellStyle name="표준 2 7 2 2 3 5" xfId="4154"/>
    <cellStyle name="표준 2 7 2 2 3 5 2" xfId="15405"/>
    <cellStyle name="표준 2 7 2 2 3 6" xfId="2138"/>
    <cellStyle name="표준 2 7 2 2 3 6 2" xfId="13565"/>
    <cellStyle name="표준 2 7 2 2 3 7" xfId="12105"/>
    <cellStyle name="표준 2 7 2 2 4" xfId="806"/>
    <cellStyle name="표준 2 7 2 2 4 2" xfId="9571"/>
    <cellStyle name="표준 2 7 2 2 4 2 2" xfId="20819"/>
    <cellStyle name="표준 2 7 2 2 4 3" xfId="7133"/>
    <cellStyle name="표준 2 7 2 2 4 3 2" xfId="18381"/>
    <cellStyle name="표준 2 7 2 2 4 4" xfId="4694"/>
    <cellStyle name="표준 2 7 2 2 4 4 2" xfId="15943"/>
    <cellStyle name="표준 2 7 2 2 4 5" xfId="2433"/>
    <cellStyle name="표준 2 7 2 2 4 5 2" xfId="13828"/>
    <cellStyle name="표준 2 7 2 2 4 6" xfId="12368"/>
    <cellStyle name="표준 2 7 2 2 5" xfId="1169"/>
    <cellStyle name="표준 2 7 2 2 5 2" xfId="8590"/>
    <cellStyle name="표준 2 7 2 2 5 2 2" xfId="19838"/>
    <cellStyle name="표준 2 7 2 2 5 3" xfId="6152"/>
    <cellStyle name="표준 2 7 2 2 5 3 2" xfId="17400"/>
    <cellStyle name="표준 2 7 2 2 5 4" xfId="3711"/>
    <cellStyle name="표준 2 7 2 2 5 4 2" xfId="14962"/>
    <cellStyle name="표준 2 7 2 2 5 5" xfId="2790"/>
    <cellStyle name="표준 2 7 2 2 5 5 2" xfId="14068"/>
    <cellStyle name="표준 2 7 2 2 5 6" xfId="12608"/>
    <cellStyle name="표준 2 7 2 2 6" xfId="8432"/>
    <cellStyle name="표준 2 7 2 2 6 2" xfId="19680"/>
    <cellStyle name="표준 2 7 2 2 7" xfId="5994"/>
    <cellStyle name="표준 2 7 2 2 7 2" xfId="17242"/>
    <cellStyle name="표준 2 7 2 2 8" xfId="10878"/>
    <cellStyle name="표준 2 7 2 2 8 2" xfId="22126"/>
    <cellStyle name="표준 2 7 2 2 9" xfId="3532"/>
    <cellStyle name="표준 2 7 2 2 9 2" xfId="14804"/>
    <cellStyle name="표준 2 7 2 3" xfId="235"/>
    <cellStyle name="표준 2 7 2 3 10" xfId="11874"/>
    <cellStyle name="표준 2 7 2 3 2" xfId="519"/>
    <cellStyle name="표준 2 7 2 3 2 2" xfId="1607"/>
    <cellStyle name="표준 2 7 2 3 2 2 2" xfId="5459"/>
    <cellStyle name="표준 2 7 2 3 2 2 2 2" xfId="10336"/>
    <cellStyle name="표준 2 7 2 3 2 2 2 2 2" xfId="21584"/>
    <cellStyle name="표준 2 7 2 3 2 2 2 3" xfId="7898"/>
    <cellStyle name="표준 2 7 2 3 2 2 2 3 2" xfId="19146"/>
    <cellStyle name="표준 2 7 2 3 2 2 2 4" xfId="16708"/>
    <cellStyle name="표준 2 7 2 3 2 2 3" xfId="9346"/>
    <cellStyle name="표준 2 7 2 3 2 2 3 2" xfId="20594"/>
    <cellStyle name="표준 2 7 2 3 2 2 4" xfId="6908"/>
    <cellStyle name="표준 2 7 2 3 2 2 4 2" xfId="18156"/>
    <cellStyle name="표준 2 7 2 3 2 2 5" xfId="4467"/>
    <cellStyle name="표준 2 7 2 3 2 2 5 2" xfId="15718"/>
    <cellStyle name="표준 2 7 2 3 2 2 6" xfId="3219"/>
    <cellStyle name="표준 2 7 2 3 2 2 6 2" xfId="14497"/>
    <cellStyle name="표준 2 7 2 3 2 2 7" xfId="13037"/>
    <cellStyle name="표준 2 7 2 3 2 3" xfId="5006"/>
    <cellStyle name="표준 2 7 2 3 2 3 2" xfId="9883"/>
    <cellStyle name="표준 2 7 2 3 2 3 2 2" xfId="21131"/>
    <cellStyle name="표준 2 7 2 3 2 3 3" xfId="7445"/>
    <cellStyle name="표준 2 7 2 3 2 3 3 2" xfId="18693"/>
    <cellStyle name="표준 2 7 2 3 2 3 4" xfId="16255"/>
    <cellStyle name="표준 2 7 2 3 2 4" xfId="8893"/>
    <cellStyle name="표준 2 7 2 3 2 4 2" xfId="20141"/>
    <cellStyle name="표준 2 7 2 3 2 5" xfId="6455"/>
    <cellStyle name="표준 2 7 2 3 2 5 2" xfId="17703"/>
    <cellStyle name="표준 2 7 2 3 2 6" xfId="4014"/>
    <cellStyle name="표준 2 7 2 3 2 6 2" xfId="15265"/>
    <cellStyle name="표준 2 7 2 3 2 7" xfId="2191"/>
    <cellStyle name="표준 2 7 2 3 2 7 2" xfId="13618"/>
    <cellStyle name="표준 2 7 2 3 2 8" xfId="12158"/>
    <cellStyle name="표준 2 7 2 3 3" xfId="1222"/>
    <cellStyle name="표준 2 7 2 3 3 2" xfId="5232"/>
    <cellStyle name="표준 2 7 2 3 3 2 2" xfId="10109"/>
    <cellStyle name="표준 2 7 2 3 3 2 2 2" xfId="21357"/>
    <cellStyle name="표준 2 7 2 3 3 2 3" xfId="7671"/>
    <cellStyle name="표준 2 7 2 3 3 2 3 2" xfId="18919"/>
    <cellStyle name="표준 2 7 2 3 3 2 4" xfId="16481"/>
    <cellStyle name="표준 2 7 2 3 3 3" xfId="9119"/>
    <cellStyle name="표준 2 7 2 3 3 3 2" xfId="20367"/>
    <cellStyle name="표준 2 7 2 3 3 4" xfId="6681"/>
    <cellStyle name="표준 2 7 2 3 3 4 2" xfId="17929"/>
    <cellStyle name="표준 2 7 2 3 3 5" xfId="4240"/>
    <cellStyle name="표준 2 7 2 3 3 5 2" xfId="15491"/>
    <cellStyle name="표준 2 7 2 3 3 6" xfId="2843"/>
    <cellStyle name="표준 2 7 2 3 3 6 2" xfId="14121"/>
    <cellStyle name="표준 2 7 2 3 3 7" xfId="12661"/>
    <cellStyle name="표준 2 7 2 3 4" xfId="4780"/>
    <cellStyle name="표준 2 7 2 3 4 2" xfId="9657"/>
    <cellStyle name="표준 2 7 2 3 4 2 2" xfId="20905"/>
    <cellStyle name="표준 2 7 2 3 4 3" xfId="7219"/>
    <cellStyle name="표준 2 7 2 3 4 3 2" xfId="18467"/>
    <cellStyle name="표준 2 7 2 3 4 4" xfId="16029"/>
    <cellStyle name="표준 2 7 2 3 5" xfId="8667"/>
    <cellStyle name="표준 2 7 2 3 5 2" xfId="19915"/>
    <cellStyle name="표준 2 7 2 3 6" xfId="6229"/>
    <cellStyle name="표준 2 7 2 3 6 2" xfId="17477"/>
    <cellStyle name="표준 2 7 2 3 7" xfId="10980"/>
    <cellStyle name="표준 2 7 2 3 7 2" xfId="22227"/>
    <cellStyle name="표준 2 7 2 3 8" xfId="3788"/>
    <cellStyle name="표준 2 7 2 3 8 2" xfId="15039"/>
    <cellStyle name="표준 2 7 2 3 9" xfId="1907"/>
    <cellStyle name="표준 2 7 2 3 9 2" xfId="13334"/>
    <cellStyle name="표준 2 7 2 4" xfId="409"/>
    <cellStyle name="표준 2 7 2 4 2" xfId="1507"/>
    <cellStyle name="표준 2 7 2 4 2 2" xfId="10430"/>
    <cellStyle name="표준 2 7 2 4 2 2 2" xfId="21678"/>
    <cellStyle name="표준 2 7 2 4 2 3" xfId="7992"/>
    <cellStyle name="표준 2 7 2 4 2 3 2" xfId="19240"/>
    <cellStyle name="표준 2 7 2 4 2 4" xfId="5553"/>
    <cellStyle name="표준 2 7 2 4 2 4 2" xfId="16802"/>
    <cellStyle name="표준 2 7 2 4 2 5" xfId="3119"/>
    <cellStyle name="표준 2 7 2 4 2 5 2" xfId="14397"/>
    <cellStyle name="표준 2 7 2 4 2 6" xfId="12937"/>
    <cellStyle name="표준 2 7 2 4 3" xfId="1112"/>
    <cellStyle name="표준 2 7 2 4 3 2" xfId="9440"/>
    <cellStyle name="표준 2 7 2 4 3 2 2" xfId="20688"/>
    <cellStyle name="표준 2 7 2 4 3 3" xfId="2733"/>
    <cellStyle name="표준 2 7 2 4 3 3 2" xfId="14011"/>
    <cellStyle name="표준 2 7 2 4 3 4" xfId="12551"/>
    <cellStyle name="표준 2 7 2 4 4" xfId="7002"/>
    <cellStyle name="표준 2 7 2 4 4 2" xfId="18250"/>
    <cellStyle name="표준 2 7 2 4 5" xfId="4563"/>
    <cellStyle name="표준 2 7 2 4 5 2" xfId="15812"/>
    <cellStyle name="표준 2 7 2 4 6" xfId="2081"/>
    <cellStyle name="표준 2 7 2 4 6 2" xfId="13508"/>
    <cellStyle name="표준 2 7 2 4 7" xfId="12048"/>
    <cellStyle name="표준 2 7 2 5" xfId="356"/>
    <cellStyle name="표준 2 7 2 5 2" xfId="1751"/>
    <cellStyle name="표준 2 7 2 5 2 2" xfId="10514"/>
    <cellStyle name="표준 2 7 2 5 2 2 2" xfId="21762"/>
    <cellStyle name="표준 2 7 2 5 2 3" xfId="3363"/>
    <cellStyle name="표준 2 7 2 5 2 3 2" xfId="14641"/>
    <cellStyle name="표준 2 7 2 5 2 4" xfId="13181"/>
    <cellStyle name="표준 2 7 2 5 3" xfId="1369"/>
    <cellStyle name="표준 2 7 2 5 3 2" xfId="8076"/>
    <cellStyle name="표준 2 7 2 5 3 2 2" xfId="19324"/>
    <cellStyle name="표준 2 7 2 5 3 3" xfId="2990"/>
    <cellStyle name="표준 2 7 2 5 3 3 2" xfId="14268"/>
    <cellStyle name="표준 2 7 2 5 3 4" xfId="12808"/>
    <cellStyle name="표준 2 7 2 5 4" xfId="5637"/>
    <cellStyle name="표준 2 7 2 5 4 2" xfId="16886"/>
    <cellStyle name="표준 2 7 2 5 5" xfId="2028"/>
    <cellStyle name="표준 2 7 2 5 5 2" xfId="13455"/>
    <cellStyle name="표준 2 7 2 5 6" xfId="11995"/>
    <cellStyle name="표준 2 7 2 6" xfId="699"/>
    <cellStyle name="표준 2 7 2 6 2" xfId="1459"/>
    <cellStyle name="표준 2 7 2 6 2 2" xfId="10545"/>
    <cellStyle name="표준 2 7 2 6 2 2 2" xfId="21793"/>
    <cellStyle name="표준 2 7 2 6 2 3" xfId="3073"/>
    <cellStyle name="표준 2 7 2 6 2 3 2" xfId="14351"/>
    <cellStyle name="표준 2 7 2 6 2 4" xfId="12891"/>
    <cellStyle name="표준 2 7 2 6 3" xfId="8107"/>
    <cellStyle name="표준 2 7 2 6 3 2" xfId="19355"/>
    <cellStyle name="표준 2 7 2 6 4" xfId="5668"/>
    <cellStyle name="표준 2 7 2 6 4 2" xfId="16917"/>
    <cellStyle name="표준 2 7 2 6 5" xfId="2331"/>
    <cellStyle name="표준 2 7 2 6 5 2" xfId="13744"/>
    <cellStyle name="표준 2 7 2 6 6" xfId="12284"/>
    <cellStyle name="표준 2 7 2 7" xfId="1059"/>
    <cellStyle name="표준 2 7 2 7 2" xfId="10620"/>
    <cellStyle name="표준 2 7 2 7 2 2" xfId="21868"/>
    <cellStyle name="표준 2 7 2 7 3" xfId="8182"/>
    <cellStyle name="표준 2 7 2 7 3 2" xfId="19430"/>
    <cellStyle name="표준 2 7 2 7 4" xfId="5743"/>
    <cellStyle name="표준 2 7 2 7 4 2" xfId="16992"/>
    <cellStyle name="표준 2 7 2 7 5" xfId="2680"/>
    <cellStyle name="표준 2 7 2 7 5 2" xfId="13958"/>
    <cellStyle name="표준 2 7 2 7 6" xfId="12498"/>
    <cellStyle name="표준 2 7 2 8" xfId="995"/>
    <cellStyle name="표준 2 7 2 8 2" xfId="5826"/>
    <cellStyle name="표준 2 7 2 8 2 2" xfId="10703"/>
    <cellStyle name="표준 2 7 2 8 2 2 2" xfId="21951"/>
    <cellStyle name="표준 2 7 2 8 2 3" xfId="8265"/>
    <cellStyle name="표준 2 7 2 8 2 3 2" xfId="19513"/>
    <cellStyle name="표준 2 7 2 8 2 4" xfId="17075"/>
    <cellStyle name="표준 2 7 2 8 3" xfId="3670"/>
    <cellStyle name="표준 2 7 2 8 4" xfId="2616"/>
    <cellStyle name="표준 2 7 2 8 4 2" xfId="13894"/>
    <cellStyle name="표준 2 7 2 8 5" xfId="12434"/>
    <cellStyle name="표준 2 7 2 9" xfId="3629"/>
    <cellStyle name="표준 2 7 2 9 2" xfId="8528"/>
    <cellStyle name="표준 2 7 2 9 2 2" xfId="19776"/>
    <cellStyle name="표준 2 7 2 9 3" xfId="6090"/>
    <cellStyle name="표준 2 7 2 9 3 2" xfId="17338"/>
    <cellStyle name="표준 2 7 2 9 4" xfId="14900"/>
    <cellStyle name="표준 2 7 20" xfId="11745"/>
    <cellStyle name="표준 2 7 3" xfId="108"/>
    <cellStyle name="표준 2 7 3 10" xfId="3531"/>
    <cellStyle name="표준 2 7 3 10 2" xfId="14803"/>
    <cellStyle name="표준 2 7 3 11" xfId="1824"/>
    <cellStyle name="표준 2 7 3 11 2" xfId="13253"/>
    <cellStyle name="표준 2 7 3 12" xfId="11793"/>
    <cellStyle name="표준 2 7 3 2" xfId="264"/>
    <cellStyle name="표준 2 7 3 2 10" xfId="11903"/>
    <cellStyle name="표준 2 7 3 2 2" xfId="548"/>
    <cellStyle name="표준 2 7 3 2 2 2" xfId="1636"/>
    <cellStyle name="표준 2 7 3 2 2 2 2" xfId="5482"/>
    <cellStyle name="표준 2 7 3 2 2 2 2 2" xfId="10359"/>
    <cellStyle name="표준 2 7 3 2 2 2 2 2 2" xfId="21607"/>
    <cellStyle name="표준 2 7 3 2 2 2 2 3" xfId="7921"/>
    <cellStyle name="표준 2 7 3 2 2 2 2 3 2" xfId="19169"/>
    <cellStyle name="표준 2 7 3 2 2 2 2 4" xfId="16731"/>
    <cellStyle name="표준 2 7 3 2 2 2 3" xfId="9369"/>
    <cellStyle name="표준 2 7 3 2 2 2 3 2" xfId="20617"/>
    <cellStyle name="표준 2 7 3 2 2 2 4" xfId="6931"/>
    <cellStyle name="표준 2 7 3 2 2 2 4 2" xfId="18179"/>
    <cellStyle name="표준 2 7 3 2 2 2 5" xfId="4492"/>
    <cellStyle name="표준 2 7 3 2 2 2 5 2" xfId="15741"/>
    <cellStyle name="표준 2 7 3 2 2 2 6" xfId="3248"/>
    <cellStyle name="표준 2 7 3 2 2 2 6 2" xfId="14526"/>
    <cellStyle name="표준 2 7 3 2 2 2 7" xfId="13066"/>
    <cellStyle name="표준 2 7 3 2 2 3" xfId="5027"/>
    <cellStyle name="표준 2 7 3 2 2 3 2" xfId="9904"/>
    <cellStyle name="표준 2 7 3 2 2 3 2 2" xfId="21152"/>
    <cellStyle name="표준 2 7 3 2 2 3 3" xfId="7466"/>
    <cellStyle name="표준 2 7 3 2 2 3 3 2" xfId="18714"/>
    <cellStyle name="표준 2 7 3 2 2 3 4" xfId="16276"/>
    <cellStyle name="표준 2 7 3 2 2 4" xfId="8914"/>
    <cellStyle name="표준 2 7 3 2 2 4 2" xfId="20162"/>
    <cellStyle name="표준 2 7 3 2 2 5" xfId="6476"/>
    <cellStyle name="표준 2 7 3 2 2 5 2" xfId="17724"/>
    <cellStyle name="표준 2 7 3 2 2 6" xfId="4035"/>
    <cellStyle name="표준 2 7 3 2 2 6 2" xfId="15286"/>
    <cellStyle name="표준 2 7 3 2 2 7" xfId="2220"/>
    <cellStyle name="표준 2 7 3 2 2 7 2" xfId="13647"/>
    <cellStyle name="표준 2 7 3 2 2 8" xfId="12187"/>
    <cellStyle name="표준 2 7 3 2 3" xfId="1251"/>
    <cellStyle name="표준 2 7 3 2 3 2" xfId="5253"/>
    <cellStyle name="표준 2 7 3 2 3 2 2" xfId="10130"/>
    <cellStyle name="표준 2 7 3 2 3 2 2 2" xfId="21378"/>
    <cellStyle name="표준 2 7 3 2 3 2 3" xfId="7692"/>
    <cellStyle name="표준 2 7 3 2 3 2 3 2" xfId="18940"/>
    <cellStyle name="표준 2 7 3 2 3 2 4" xfId="16502"/>
    <cellStyle name="표준 2 7 3 2 3 3" xfId="9140"/>
    <cellStyle name="표준 2 7 3 2 3 3 2" xfId="20388"/>
    <cellStyle name="표준 2 7 3 2 3 4" xfId="6702"/>
    <cellStyle name="표준 2 7 3 2 3 4 2" xfId="17950"/>
    <cellStyle name="표준 2 7 3 2 3 5" xfId="4261"/>
    <cellStyle name="표준 2 7 3 2 3 5 2" xfId="15512"/>
    <cellStyle name="표준 2 7 3 2 3 6" xfId="2872"/>
    <cellStyle name="표준 2 7 3 2 3 6 2" xfId="14150"/>
    <cellStyle name="표준 2 7 3 2 3 7" xfId="12690"/>
    <cellStyle name="표준 2 7 3 2 4" xfId="4801"/>
    <cellStyle name="표준 2 7 3 2 4 2" xfId="9678"/>
    <cellStyle name="표준 2 7 3 2 4 2 2" xfId="20926"/>
    <cellStyle name="표준 2 7 3 2 4 3" xfId="7240"/>
    <cellStyle name="표준 2 7 3 2 4 3 2" xfId="18488"/>
    <cellStyle name="표준 2 7 3 2 4 4" xfId="16050"/>
    <cellStyle name="표준 2 7 3 2 5" xfId="8688"/>
    <cellStyle name="표준 2 7 3 2 5 2" xfId="19936"/>
    <cellStyle name="표준 2 7 3 2 6" xfId="6250"/>
    <cellStyle name="표준 2 7 3 2 6 2" xfId="17498"/>
    <cellStyle name="표준 2 7 3 2 7" xfId="11062"/>
    <cellStyle name="표준 2 7 3 2 7 2" xfId="22309"/>
    <cellStyle name="표준 2 7 3 2 8" xfId="3809"/>
    <cellStyle name="표준 2 7 3 2 8 2" xfId="15060"/>
    <cellStyle name="표준 2 7 3 2 9" xfId="1936"/>
    <cellStyle name="표준 2 7 3 2 9 2" xfId="13363"/>
    <cellStyle name="표준 2 7 3 3" xfId="438"/>
    <cellStyle name="표준 2 7 3 3 2" xfId="1531"/>
    <cellStyle name="표준 2 7 3 3 2 2" xfId="5289"/>
    <cellStyle name="표준 2 7 3 3 2 2 2" xfId="10166"/>
    <cellStyle name="표준 2 7 3 3 2 2 2 2" xfId="21414"/>
    <cellStyle name="표준 2 7 3 3 2 2 3" xfId="7728"/>
    <cellStyle name="표준 2 7 3 3 2 2 3 2" xfId="18976"/>
    <cellStyle name="표준 2 7 3 3 2 2 4" xfId="16538"/>
    <cellStyle name="표준 2 7 3 3 2 3" xfId="9176"/>
    <cellStyle name="표준 2 7 3 3 2 3 2" xfId="20424"/>
    <cellStyle name="표준 2 7 3 3 2 4" xfId="6738"/>
    <cellStyle name="표준 2 7 3 3 2 4 2" xfId="17986"/>
    <cellStyle name="표준 2 7 3 3 2 5" xfId="4297"/>
    <cellStyle name="표준 2 7 3 3 2 5 2" xfId="15548"/>
    <cellStyle name="표준 2 7 3 3 2 6" xfId="3143"/>
    <cellStyle name="표준 2 7 3 3 2 6 2" xfId="14421"/>
    <cellStyle name="표준 2 7 3 3 2 7" xfId="12961"/>
    <cellStyle name="표준 2 7 3 3 3" xfId="4836"/>
    <cellStyle name="표준 2 7 3 3 3 2" xfId="9713"/>
    <cellStyle name="표준 2 7 3 3 3 2 2" xfId="20961"/>
    <cellStyle name="표준 2 7 3 3 3 3" xfId="7275"/>
    <cellStyle name="표준 2 7 3 3 3 3 2" xfId="18523"/>
    <cellStyle name="표준 2 7 3 3 3 4" xfId="16085"/>
    <cellStyle name="표준 2 7 3 3 4" xfId="8723"/>
    <cellStyle name="표준 2 7 3 3 4 2" xfId="19971"/>
    <cellStyle name="표준 2 7 3 3 5" xfId="6285"/>
    <cellStyle name="표준 2 7 3 3 5 2" xfId="17533"/>
    <cellStyle name="표준 2 7 3 3 6" xfId="3844"/>
    <cellStyle name="표준 2 7 3 3 6 2" xfId="15095"/>
    <cellStyle name="표준 2 7 3 3 7" xfId="2110"/>
    <cellStyle name="표준 2 7 3 3 7 2" xfId="13537"/>
    <cellStyle name="표준 2 7 3 3 8" xfId="12077"/>
    <cellStyle name="표준 2 7 3 4" xfId="805"/>
    <cellStyle name="표준 2 7 3 4 2" xfId="5062"/>
    <cellStyle name="표준 2 7 3 4 2 2" xfId="9939"/>
    <cellStyle name="표준 2 7 3 4 2 2 2" xfId="21187"/>
    <cellStyle name="표준 2 7 3 4 2 3" xfId="7501"/>
    <cellStyle name="표준 2 7 3 4 2 3 2" xfId="18749"/>
    <cellStyle name="표준 2 7 3 4 2 4" xfId="16311"/>
    <cellStyle name="표준 2 7 3 4 3" xfId="8949"/>
    <cellStyle name="표준 2 7 3 4 3 2" xfId="20197"/>
    <cellStyle name="표준 2 7 3 4 4" xfId="6511"/>
    <cellStyle name="표준 2 7 3 4 4 2" xfId="17759"/>
    <cellStyle name="표준 2 7 3 4 5" xfId="4070"/>
    <cellStyle name="표준 2 7 3 4 5 2" xfId="15321"/>
    <cellStyle name="표준 2 7 3 4 6" xfId="2432"/>
    <cellStyle name="표준 2 7 3 4 6 2" xfId="13827"/>
    <cellStyle name="표준 2 7 3 4 7" xfId="12367"/>
    <cellStyle name="표준 2 7 3 5" xfId="1141"/>
    <cellStyle name="표준 2 7 3 5 2" xfId="9487"/>
    <cellStyle name="표준 2 7 3 5 2 2" xfId="20735"/>
    <cellStyle name="표준 2 7 3 5 3" xfId="7049"/>
    <cellStyle name="표준 2 7 3 5 3 2" xfId="18297"/>
    <cellStyle name="표준 2 7 3 5 4" xfId="4610"/>
    <cellStyle name="표준 2 7 3 5 4 2" xfId="15859"/>
    <cellStyle name="표준 2 7 3 5 5" xfId="2762"/>
    <cellStyle name="표준 2 7 3 5 5 2" xfId="14040"/>
    <cellStyle name="표준 2 7 3 5 6" xfId="12580"/>
    <cellStyle name="표준 2 7 3 6" xfId="3649"/>
    <cellStyle name="표준 2 7 3 6 2" xfId="8546"/>
    <cellStyle name="표준 2 7 3 6 2 2" xfId="19794"/>
    <cellStyle name="표준 2 7 3 6 3" xfId="6108"/>
    <cellStyle name="표준 2 7 3 6 3 2" xfId="17356"/>
    <cellStyle name="표준 2 7 3 6 4" xfId="14918"/>
    <cellStyle name="표준 2 7 3 7" xfId="8431"/>
    <cellStyle name="표준 2 7 3 7 2" xfId="19679"/>
    <cellStyle name="표준 2 7 3 8" xfId="5993"/>
    <cellStyle name="표준 2 7 3 8 2" xfId="17241"/>
    <cellStyle name="표준 2 7 3 9" xfId="10877"/>
    <cellStyle name="표준 2 7 3 9 2" xfId="22125"/>
    <cellStyle name="표준 2 7 4" xfId="216"/>
    <cellStyle name="표준 2 7 4 10" xfId="11855"/>
    <cellStyle name="표준 2 7 4 2" xfId="500"/>
    <cellStyle name="표준 2 7 4 2 2" xfId="1588"/>
    <cellStyle name="표준 2 7 4 2 2 2" xfId="5372"/>
    <cellStyle name="표준 2 7 4 2 2 2 2" xfId="10249"/>
    <cellStyle name="표준 2 7 4 2 2 2 2 2" xfId="21497"/>
    <cellStyle name="표준 2 7 4 2 2 2 3" xfId="7811"/>
    <cellStyle name="표준 2 7 4 2 2 2 3 2" xfId="19059"/>
    <cellStyle name="표준 2 7 4 2 2 2 4" xfId="16621"/>
    <cellStyle name="표준 2 7 4 2 2 3" xfId="9259"/>
    <cellStyle name="표준 2 7 4 2 2 3 2" xfId="20507"/>
    <cellStyle name="표준 2 7 4 2 2 4" xfId="6821"/>
    <cellStyle name="표준 2 7 4 2 2 4 2" xfId="18069"/>
    <cellStyle name="표준 2 7 4 2 2 5" xfId="4380"/>
    <cellStyle name="표준 2 7 4 2 2 5 2" xfId="15631"/>
    <cellStyle name="표준 2 7 4 2 2 6" xfId="3200"/>
    <cellStyle name="표준 2 7 4 2 2 6 2" xfId="14478"/>
    <cellStyle name="표준 2 7 4 2 2 7" xfId="13018"/>
    <cellStyle name="표준 2 7 4 2 3" xfId="4919"/>
    <cellStyle name="표준 2 7 4 2 3 2" xfId="9796"/>
    <cellStyle name="표준 2 7 4 2 3 2 2" xfId="21044"/>
    <cellStyle name="표준 2 7 4 2 3 3" xfId="7358"/>
    <cellStyle name="표준 2 7 4 2 3 3 2" xfId="18606"/>
    <cellStyle name="표준 2 7 4 2 3 4" xfId="16168"/>
    <cellStyle name="표준 2 7 4 2 4" xfId="8806"/>
    <cellStyle name="표준 2 7 4 2 4 2" xfId="20054"/>
    <cellStyle name="표준 2 7 4 2 5" xfId="6368"/>
    <cellStyle name="표준 2 7 4 2 5 2" xfId="17616"/>
    <cellStyle name="표준 2 7 4 2 6" xfId="3927"/>
    <cellStyle name="표준 2 7 4 2 6 2" xfId="15178"/>
    <cellStyle name="표준 2 7 4 2 7" xfId="2172"/>
    <cellStyle name="표준 2 7 4 2 7 2" xfId="13599"/>
    <cellStyle name="표준 2 7 4 2 8" xfId="12139"/>
    <cellStyle name="표준 2 7 4 3" xfId="1203"/>
    <cellStyle name="표준 2 7 4 3 2" xfId="5145"/>
    <cellStyle name="표준 2 7 4 3 2 2" xfId="10022"/>
    <cellStyle name="표준 2 7 4 3 2 2 2" xfId="21270"/>
    <cellStyle name="표준 2 7 4 3 2 3" xfId="7584"/>
    <cellStyle name="표준 2 7 4 3 2 3 2" xfId="18832"/>
    <cellStyle name="표준 2 7 4 3 2 4" xfId="16394"/>
    <cellStyle name="표준 2 7 4 3 3" xfId="9032"/>
    <cellStyle name="표준 2 7 4 3 3 2" xfId="20280"/>
    <cellStyle name="표준 2 7 4 3 4" xfId="6594"/>
    <cellStyle name="표준 2 7 4 3 4 2" xfId="17842"/>
    <cellStyle name="표준 2 7 4 3 5" xfId="4153"/>
    <cellStyle name="표준 2 7 4 3 5 2" xfId="15404"/>
    <cellStyle name="표준 2 7 4 3 6" xfId="2824"/>
    <cellStyle name="표준 2 7 4 3 6 2" xfId="14102"/>
    <cellStyle name="표준 2 7 4 3 7" xfId="12642"/>
    <cellStyle name="표준 2 7 4 4" xfId="4693"/>
    <cellStyle name="표준 2 7 4 4 2" xfId="9570"/>
    <cellStyle name="표준 2 7 4 4 2 2" xfId="20818"/>
    <cellStyle name="표준 2 7 4 4 3" xfId="7132"/>
    <cellStyle name="표준 2 7 4 4 3 2" xfId="18380"/>
    <cellStyle name="표준 2 7 4 4 4" xfId="15942"/>
    <cellStyle name="표준 2 7 4 5" xfId="8589"/>
    <cellStyle name="표준 2 7 4 5 2" xfId="19837"/>
    <cellStyle name="표준 2 7 4 6" xfId="6151"/>
    <cellStyle name="표준 2 7 4 6 2" xfId="17399"/>
    <cellStyle name="표준 2 7 4 7" xfId="10979"/>
    <cellStyle name="표준 2 7 4 7 2" xfId="22226"/>
    <cellStyle name="표준 2 7 4 8" xfId="3710"/>
    <cellStyle name="표준 2 7 4 8 2" xfId="14961"/>
    <cellStyle name="표준 2 7 4 9" xfId="1888"/>
    <cellStyle name="표준 2 7 4 9 2" xfId="13315"/>
    <cellStyle name="표준 2 7 5" xfId="390"/>
    <cellStyle name="표준 2 7 5 2" xfId="1488"/>
    <cellStyle name="표준 2 7 5 2 2" xfId="4466"/>
    <cellStyle name="표준 2 7 5 2 2 2" xfId="5458"/>
    <cellStyle name="표준 2 7 5 2 2 2 2" xfId="10335"/>
    <cellStyle name="표준 2 7 5 2 2 2 2 2" xfId="21583"/>
    <cellStyle name="표준 2 7 5 2 2 2 3" xfId="7897"/>
    <cellStyle name="표준 2 7 5 2 2 2 3 2" xfId="19145"/>
    <cellStyle name="표준 2 7 5 2 2 2 4" xfId="16707"/>
    <cellStyle name="표준 2 7 5 2 2 3" xfId="9345"/>
    <cellStyle name="표준 2 7 5 2 2 3 2" xfId="20593"/>
    <cellStyle name="표준 2 7 5 2 2 4" xfId="6907"/>
    <cellStyle name="표준 2 7 5 2 2 4 2" xfId="18155"/>
    <cellStyle name="표준 2 7 5 2 2 5" xfId="15717"/>
    <cellStyle name="표준 2 7 5 2 3" xfId="5005"/>
    <cellStyle name="표준 2 7 5 2 3 2" xfId="9882"/>
    <cellStyle name="표준 2 7 5 2 3 2 2" xfId="21130"/>
    <cellStyle name="표준 2 7 5 2 3 3" xfId="7444"/>
    <cellStyle name="표준 2 7 5 2 3 3 2" xfId="18692"/>
    <cellStyle name="표준 2 7 5 2 3 4" xfId="16254"/>
    <cellStyle name="표준 2 7 5 2 4" xfId="8892"/>
    <cellStyle name="표준 2 7 5 2 4 2" xfId="20140"/>
    <cellStyle name="표준 2 7 5 2 5" xfId="6454"/>
    <cellStyle name="표준 2 7 5 2 5 2" xfId="17702"/>
    <cellStyle name="표준 2 7 5 2 6" xfId="4013"/>
    <cellStyle name="표준 2 7 5 2 6 2" xfId="15264"/>
    <cellStyle name="표준 2 7 5 2 7" xfId="3100"/>
    <cellStyle name="표준 2 7 5 2 7 2" xfId="14378"/>
    <cellStyle name="표준 2 7 5 2 8" xfId="12918"/>
    <cellStyle name="표준 2 7 5 3" xfId="1093"/>
    <cellStyle name="표준 2 7 5 3 2" xfId="5231"/>
    <cellStyle name="표준 2 7 5 3 2 2" xfId="10108"/>
    <cellStyle name="표준 2 7 5 3 2 2 2" xfId="21356"/>
    <cellStyle name="표준 2 7 5 3 2 3" xfId="7670"/>
    <cellStyle name="표준 2 7 5 3 2 3 2" xfId="18918"/>
    <cellStyle name="표준 2 7 5 3 2 4" xfId="16480"/>
    <cellStyle name="표준 2 7 5 3 3" xfId="9118"/>
    <cellStyle name="표준 2 7 5 3 3 2" xfId="20366"/>
    <cellStyle name="표준 2 7 5 3 4" xfId="6680"/>
    <cellStyle name="표준 2 7 5 3 4 2" xfId="17928"/>
    <cellStyle name="표준 2 7 5 3 5" xfId="4239"/>
    <cellStyle name="표준 2 7 5 3 5 2" xfId="15490"/>
    <cellStyle name="표준 2 7 5 3 6" xfId="2714"/>
    <cellStyle name="표준 2 7 5 3 6 2" xfId="13992"/>
    <cellStyle name="표준 2 7 5 3 7" xfId="12532"/>
    <cellStyle name="표준 2 7 5 4" xfId="4779"/>
    <cellStyle name="표준 2 7 5 4 2" xfId="9656"/>
    <cellStyle name="표준 2 7 5 4 2 2" xfId="20904"/>
    <cellStyle name="표준 2 7 5 4 3" xfId="7218"/>
    <cellStyle name="표준 2 7 5 4 3 2" xfId="18466"/>
    <cellStyle name="표준 2 7 5 4 4" xfId="16028"/>
    <cellStyle name="표준 2 7 5 5" xfId="8666"/>
    <cellStyle name="표준 2 7 5 5 2" xfId="19914"/>
    <cellStyle name="표준 2 7 5 6" xfId="6228"/>
    <cellStyle name="표준 2 7 5 6 2" xfId="17476"/>
    <cellStyle name="표준 2 7 5 7" xfId="3787"/>
    <cellStyle name="표준 2 7 5 7 2" xfId="15038"/>
    <cellStyle name="표준 2 7 5 8" xfId="2062"/>
    <cellStyle name="표준 2 7 5 8 2" xfId="13489"/>
    <cellStyle name="표준 2 7 5 9" xfId="12029"/>
    <cellStyle name="표준 2 7 6" xfId="328"/>
    <cellStyle name="표준 2 7 6 2" xfId="1750"/>
    <cellStyle name="표준 2 7 6 2 2" xfId="5267"/>
    <cellStyle name="표준 2 7 6 2 2 2" xfId="10144"/>
    <cellStyle name="표준 2 7 6 2 2 2 2" xfId="21392"/>
    <cellStyle name="표준 2 7 6 2 2 3" xfId="7706"/>
    <cellStyle name="표준 2 7 6 2 2 3 2" xfId="18954"/>
    <cellStyle name="표준 2 7 6 2 2 4" xfId="16516"/>
    <cellStyle name="표준 2 7 6 2 3" xfId="9154"/>
    <cellStyle name="표준 2 7 6 2 3 2" xfId="20402"/>
    <cellStyle name="표준 2 7 6 2 4" xfId="6716"/>
    <cellStyle name="표준 2 7 6 2 4 2" xfId="17964"/>
    <cellStyle name="표준 2 7 6 2 5" xfId="4275"/>
    <cellStyle name="표준 2 7 6 2 5 2" xfId="15526"/>
    <cellStyle name="표준 2 7 6 2 6" xfId="3362"/>
    <cellStyle name="표준 2 7 6 2 6 2" xfId="14640"/>
    <cellStyle name="표준 2 7 6 2 7" xfId="13180"/>
    <cellStyle name="표준 2 7 6 3" xfId="1368"/>
    <cellStyle name="표준 2 7 6 3 2" xfId="9691"/>
    <cellStyle name="표준 2 7 6 3 2 2" xfId="20939"/>
    <cellStyle name="표준 2 7 6 3 3" xfId="7253"/>
    <cellStyle name="표준 2 7 6 3 3 2" xfId="18501"/>
    <cellStyle name="표준 2 7 6 3 4" xfId="4814"/>
    <cellStyle name="표준 2 7 6 3 4 2" xfId="16063"/>
    <cellStyle name="표준 2 7 6 3 5" xfId="2989"/>
    <cellStyle name="표준 2 7 6 3 5 2" xfId="14267"/>
    <cellStyle name="표준 2 7 6 3 6" xfId="12807"/>
    <cellStyle name="표준 2 7 6 4" xfId="8701"/>
    <cellStyle name="표준 2 7 6 4 2" xfId="19949"/>
    <cellStyle name="표준 2 7 6 5" xfId="6263"/>
    <cellStyle name="표준 2 7 6 5 2" xfId="17511"/>
    <cellStyle name="표준 2 7 6 6" xfId="3822"/>
    <cellStyle name="표준 2 7 6 6 2" xfId="15073"/>
    <cellStyle name="표준 2 7 6 7" xfId="2000"/>
    <cellStyle name="표준 2 7 6 7 2" xfId="13427"/>
    <cellStyle name="표준 2 7 6 8" xfId="11967"/>
    <cellStyle name="표준 2 7 7" xfId="621"/>
    <cellStyle name="표준 2 7 7 2" xfId="1458"/>
    <cellStyle name="표준 2 7 7 2 2" xfId="9917"/>
    <cellStyle name="표준 2 7 7 2 2 2" xfId="21165"/>
    <cellStyle name="표준 2 7 7 2 3" xfId="7479"/>
    <cellStyle name="표준 2 7 7 2 3 2" xfId="18727"/>
    <cellStyle name="표준 2 7 7 2 4" xfId="5040"/>
    <cellStyle name="표준 2 7 7 2 4 2" xfId="16289"/>
    <cellStyle name="표준 2 7 7 2 5" xfId="3072"/>
    <cellStyle name="표준 2 7 7 2 5 2" xfId="14350"/>
    <cellStyle name="표준 2 7 7 2 6" xfId="12890"/>
    <cellStyle name="표준 2 7 7 3" xfId="8927"/>
    <cellStyle name="표준 2 7 7 3 2" xfId="20175"/>
    <cellStyle name="표준 2 7 7 4" xfId="6489"/>
    <cellStyle name="표준 2 7 7 4 2" xfId="17737"/>
    <cellStyle name="표준 2 7 7 5" xfId="4048"/>
    <cellStyle name="표준 2 7 7 5 2" xfId="15299"/>
    <cellStyle name="표준 2 7 7 6" xfId="2293"/>
    <cellStyle name="표준 2 7 7 6 2" xfId="13712"/>
    <cellStyle name="표준 2 7 7 7" xfId="12252"/>
    <cellStyle name="표준 2 7 8" xfId="1031"/>
    <cellStyle name="표준 2 7 8 2" xfId="5552"/>
    <cellStyle name="표준 2 7 8 2 2" xfId="10429"/>
    <cellStyle name="표준 2 7 8 2 2 2" xfId="21677"/>
    <cellStyle name="표준 2 7 8 2 3" xfId="7991"/>
    <cellStyle name="표준 2 7 8 2 3 2" xfId="19239"/>
    <cellStyle name="표준 2 7 8 2 4" xfId="16801"/>
    <cellStyle name="표준 2 7 8 3" xfId="9439"/>
    <cellStyle name="표준 2 7 8 3 2" xfId="20687"/>
    <cellStyle name="표준 2 7 8 4" xfId="7001"/>
    <cellStyle name="표준 2 7 8 4 2" xfId="18249"/>
    <cellStyle name="표준 2 7 8 5" xfId="4562"/>
    <cellStyle name="표준 2 7 8 5 2" xfId="15811"/>
    <cellStyle name="표준 2 7 8 6" xfId="2652"/>
    <cellStyle name="표준 2 7 8 6 2" xfId="13930"/>
    <cellStyle name="표준 2 7 8 7" xfId="12470"/>
    <cellStyle name="표준 2 7 9" xfId="967"/>
    <cellStyle name="표준 2 7 9 2" xfId="9465"/>
    <cellStyle name="표준 2 7 9 2 2" xfId="20713"/>
    <cellStyle name="표준 2 7 9 3" xfId="7027"/>
    <cellStyle name="표준 2 7 9 3 2" xfId="18275"/>
    <cellStyle name="표준 2 7 9 4" xfId="4588"/>
    <cellStyle name="표준 2 7 9 4 2" xfId="15837"/>
    <cellStyle name="표준 2 7 9 5" xfId="2589"/>
    <cellStyle name="표준 2 7 9 5 2" xfId="13867"/>
    <cellStyle name="표준 2 7 9 6" xfId="12407"/>
    <cellStyle name="표준 2 8" xfId="67"/>
    <cellStyle name="표준 2 8 10" xfId="5638"/>
    <cellStyle name="표준 2 8 10 2" xfId="10515"/>
    <cellStyle name="표준 2 8 10 2 2" xfId="21763"/>
    <cellStyle name="표준 2 8 10 3" xfId="8077"/>
    <cellStyle name="표준 2 8 10 3 2" xfId="19325"/>
    <cellStyle name="표준 2 8 10 4" xfId="16887"/>
    <cellStyle name="표준 2 8 11" xfId="5661"/>
    <cellStyle name="표준 2 8 11 2" xfId="10538"/>
    <cellStyle name="표준 2 8 11 2 2" xfId="21786"/>
    <cellStyle name="표준 2 8 11 3" xfId="8100"/>
    <cellStyle name="표준 2 8 11 3 2" xfId="19348"/>
    <cellStyle name="표준 2 8 11 4" xfId="16910"/>
    <cellStyle name="표준 2 8 12" xfId="5744"/>
    <cellStyle name="표준 2 8 12 2" xfId="10621"/>
    <cellStyle name="표준 2 8 12 2 2" xfId="21869"/>
    <cellStyle name="표준 2 8 12 3" xfId="8183"/>
    <cellStyle name="표준 2 8 12 3 2" xfId="19431"/>
    <cellStyle name="표준 2 8 12 4" xfId="16993"/>
    <cellStyle name="표준 2 8 13" xfId="5827"/>
    <cellStyle name="표준 2 8 13 2" xfId="10704"/>
    <cellStyle name="표준 2 8 13 2 2" xfId="21952"/>
    <cellStyle name="표준 2 8 13 3" xfId="8266"/>
    <cellStyle name="표준 2 8 13 3 2" xfId="19514"/>
    <cellStyle name="표준 2 8 13 4" xfId="17076"/>
    <cellStyle name="표준 2 8 14" xfId="3630"/>
    <cellStyle name="표준 2 8 14 2" xfId="8529"/>
    <cellStyle name="표준 2 8 14 2 2" xfId="19777"/>
    <cellStyle name="표준 2 8 14 3" xfId="6091"/>
    <cellStyle name="표준 2 8 14 3 2" xfId="17339"/>
    <cellStyle name="표준 2 8 14 4" xfId="14901"/>
    <cellStyle name="표준 2 8 15" xfId="8350"/>
    <cellStyle name="표준 2 8 15 2" xfId="19598"/>
    <cellStyle name="표준 2 8 16" xfId="5912"/>
    <cellStyle name="표준 2 8 16 2" xfId="17160"/>
    <cellStyle name="표준 2 8 17" xfId="10796"/>
    <cellStyle name="표준 2 8 17 2" xfId="22044"/>
    <cellStyle name="표준 2 8 18" xfId="3444"/>
    <cellStyle name="표준 2 8 18 2" xfId="14722"/>
    <cellStyle name="표준 2 8 19" xfId="1783"/>
    <cellStyle name="표준 2 8 19 2" xfId="13212"/>
    <cellStyle name="표준 2 8 2" xfId="188"/>
    <cellStyle name="표준 2 8 2 10" xfId="8351"/>
    <cellStyle name="표준 2 8 2 10 2" xfId="19599"/>
    <cellStyle name="표준 2 8 2 11" xfId="5913"/>
    <cellStyle name="표준 2 8 2 11 2" xfId="17161"/>
    <cellStyle name="표준 2 8 2 12" xfId="10797"/>
    <cellStyle name="표준 2 8 2 12 2" xfId="22045"/>
    <cellStyle name="표준 2 8 2 13" xfId="3445"/>
    <cellStyle name="표준 2 8 2 13 2" xfId="14723"/>
    <cellStyle name="표준 2 8 2 14" xfId="1861"/>
    <cellStyle name="표준 2 8 2 14 2" xfId="13288"/>
    <cellStyle name="표준 2 8 2 15" xfId="11828"/>
    <cellStyle name="표준 2 8 2 2" xfId="299"/>
    <cellStyle name="표준 2 8 2 2 10" xfId="1971"/>
    <cellStyle name="표준 2 8 2 2 10 2" xfId="13398"/>
    <cellStyle name="표준 2 8 2 2 11" xfId="11938"/>
    <cellStyle name="표준 2 8 2 2 2" xfId="583"/>
    <cellStyle name="표준 2 8 2 2 2 2" xfId="1671"/>
    <cellStyle name="표준 2 8 2 2 2 2 2" xfId="5375"/>
    <cellStyle name="표준 2 8 2 2 2 2 2 2" xfId="10252"/>
    <cellStyle name="표준 2 8 2 2 2 2 2 2 2" xfId="21500"/>
    <cellStyle name="표준 2 8 2 2 2 2 2 3" xfId="7814"/>
    <cellStyle name="표준 2 8 2 2 2 2 2 3 2" xfId="19062"/>
    <cellStyle name="표준 2 8 2 2 2 2 2 4" xfId="16624"/>
    <cellStyle name="표준 2 8 2 2 2 2 3" xfId="9262"/>
    <cellStyle name="표준 2 8 2 2 2 2 3 2" xfId="20510"/>
    <cellStyle name="표준 2 8 2 2 2 2 4" xfId="6824"/>
    <cellStyle name="표준 2 8 2 2 2 2 4 2" xfId="18072"/>
    <cellStyle name="표준 2 8 2 2 2 2 5" xfId="4383"/>
    <cellStyle name="표준 2 8 2 2 2 2 5 2" xfId="15634"/>
    <cellStyle name="표준 2 8 2 2 2 2 6" xfId="3283"/>
    <cellStyle name="표준 2 8 2 2 2 2 6 2" xfId="14561"/>
    <cellStyle name="표준 2 8 2 2 2 2 7" xfId="13101"/>
    <cellStyle name="표준 2 8 2 2 2 3" xfId="4922"/>
    <cellStyle name="표준 2 8 2 2 2 3 2" xfId="9799"/>
    <cellStyle name="표준 2 8 2 2 2 3 2 2" xfId="21047"/>
    <cellStyle name="표준 2 8 2 2 2 3 3" xfId="7361"/>
    <cellStyle name="표준 2 8 2 2 2 3 3 2" xfId="18609"/>
    <cellStyle name="표준 2 8 2 2 2 3 4" xfId="16171"/>
    <cellStyle name="표준 2 8 2 2 2 4" xfId="8809"/>
    <cellStyle name="표준 2 8 2 2 2 4 2" xfId="20057"/>
    <cellStyle name="표준 2 8 2 2 2 5" xfId="6371"/>
    <cellStyle name="표준 2 8 2 2 2 5 2" xfId="17619"/>
    <cellStyle name="표준 2 8 2 2 2 6" xfId="11065"/>
    <cellStyle name="표준 2 8 2 2 2 6 2" xfId="22312"/>
    <cellStyle name="표준 2 8 2 2 2 7" xfId="3930"/>
    <cellStyle name="표준 2 8 2 2 2 7 2" xfId="15181"/>
    <cellStyle name="표준 2 8 2 2 2 8" xfId="2255"/>
    <cellStyle name="표준 2 8 2 2 2 8 2" xfId="13682"/>
    <cellStyle name="표준 2 8 2 2 2 9" xfId="12222"/>
    <cellStyle name="표준 2 8 2 2 3" xfId="808"/>
    <cellStyle name="표준 2 8 2 2 3 2" xfId="5148"/>
    <cellStyle name="표준 2 8 2 2 3 2 2" xfId="10025"/>
    <cellStyle name="표준 2 8 2 2 3 2 2 2" xfId="21273"/>
    <cellStyle name="표준 2 8 2 2 3 2 3" xfId="7587"/>
    <cellStyle name="표준 2 8 2 2 3 2 3 2" xfId="18835"/>
    <cellStyle name="표준 2 8 2 2 3 2 4" xfId="16397"/>
    <cellStyle name="표준 2 8 2 2 3 3" xfId="9035"/>
    <cellStyle name="표준 2 8 2 2 3 3 2" xfId="20283"/>
    <cellStyle name="표준 2 8 2 2 3 4" xfId="6597"/>
    <cellStyle name="표준 2 8 2 2 3 4 2" xfId="17845"/>
    <cellStyle name="표준 2 8 2 2 3 5" xfId="4156"/>
    <cellStyle name="표준 2 8 2 2 3 5 2" xfId="15407"/>
    <cellStyle name="표준 2 8 2 2 3 6" xfId="2435"/>
    <cellStyle name="표준 2 8 2 2 3 6 2" xfId="13830"/>
    <cellStyle name="표준 2 8 2 2 3 7" xfId="12370"/>
    <cellStyle name="표준 2 8 2 2 4" xfId="1286"/>
    <cellStyle name="표준 2 8 2 2 4 2" xfId="9573"/>
    <cellStyle name="표준 2 8 2 2 4 2 2" xfId="20821"/>
    <cellStyle name="표준 2 8 2 2 4 3" xfId="7135"/>
    <cellStyle name="표준 2 8 2 2 4 3 2" xfId="18383"/>
    <cellStyle name="표준 2 8 2 2 4 4" xfId="4696"/>
    <cellStyle name="표준 2 8 2 2 4 4 2" xfId="15945"/>
    <cellStyle name="표준 2 8 2 2 4 5" xfId="2907"/>
    <cellStyle name="표준 2 8 2 2 4 5 2" xfId="14185"/>
    <cellStyle name="표준 2 8 2 2 4 6" xfId="12725"/>
    <cellStyle name="표준 2 8 2 2 5" xfId="3713"/>
    <cellStyle name="표준 2 8 2 2 5 2" xfId="8592"/>
    <cellStyle name="표준 2 8 2 2 5 2 2" xfId="19840"/>
    <cellStyle name="표준 2 8 2 2 5 3" xfId="6154"/>
    <cellStyle name="표준 2 8 2 2 5 3 2" xfId="17402"/>
    <cellStyle name="표준 2 8 2 2 5 4" xfId="14964"/>
    <cellStyle name="표준 2 8 2 2 6" xfId="8434"/>
    <cellStyle name="표준 2 8 2 2 6 2" xfId="19682"/>
    <cellStyle name="표준 2 8 2 2 7" xfId="5996"/>
    <cellStyle name="표준 2 8 2 2 7 2" xfId="17244"/>
    <cellStyle name="표준 2 8 2 2 8" xfId="10880"/>
    <cellStyle name="표준 2 8 2 2 8 2" xfId="22128"/>
    <cellStyle name="표준 2 8 2 2 9" xfId="3534"/>
    <cellStyle name="표준 2 8 2 2 9 2" xfId="14806"/>
    <cellStyle name="표준 2 8 2 3" xfId="473"/>
    <cellStyle name="표준 2 8 2 3 10" xfId="12112"/>
    <cellStyle name="표준 2 8 2 3 2" xfId="1566"/>
    <cellStyle name="표준 2 8 2 3 2 2" xfId="4469"/>
    <cellStyle name="표준 2 8 2 3 2 2 2" xfId="5461"/>
    <cellStyle name="표준 2 8 2 3 2 2 2 2" xfId="10338"/>
    <cellStyle name="표준 2 8 2 3 2 2 2 2 2" xfId="21586"/>
    <cellStyle name="표준 2 8 2 3 2 2 2 3" xfId="7900"/>
    <cellStyle name="표준 2 8 2 3 2 2 2 3 2" xfId="19148"/>
    <cellStyle name="표준 2 8 2 3 2 2 2 4" xfId="16710"/>
    <cellStyle name="표준 2 8 2 3 2 2 3" xfId="9348"/>
    <cellStyle name="표준 2 8 2 3 2 2 3 2" xfId="20596"/>
    <cellStyle name="표준 2 8 2 3 2 2 4" xfId="6910"/>
    <cellStyle name="표준 2 8 2 3 2 2 4 2" xfId="18158"/>
    <cellStyle name="표준 2 8 2 3 2 2 5" xfId="15720"/>
    <cellStyle name="표준 2 8 2 3 2 3" xfId="5008"/>
    <cellStyle name="표준 2 8 2 3 2 3 2" xfId="9885"/>
    <cellStyle name="표준 2 8 2 3 2 3 2 2" xfId="21133"/>
    <cellStyle name="표준 2 8 2 3 2 3 3" xfId="7447"/>
    <cellStyle name="표준 2 8 2 3 2 3 3 2" xfId="18695"/>
    <cellStyle name="표준 2 8 2 3 2 3 4" xfId="16257"/>
    <cellStyle name="표준 2 8 2 3 2 4" xfId="8895"/>
    <cellStyle name="표준 2 8 2 3 2 4 2" xfId="20143"/>
    <cellStyle name="표준 2 8 2 3 2 5" xfId="6457"/>
    <cellStyle name="표준 2 8 2 3 2 5 2" xfId="17705"/>
    <cellStyle name="표준 2 8 2 3 2 6" xfId="4016"/>
    <cellStyle name="표준 2 8 2 3 2 6 2" xfId="15267"/>
    <cellStyle name="표준 2 8 2 3 2 7" xfId="3178"/>
    <cellStyle name="표준 2 8 2 3 2 7 2" xfId="14456"/>
    <cellStyle name="표준 2 8 2 3 2 8" xfId="12996"/>
    <cellStyle name="표준 2 8 2 3 3" xfId="1176"/>
    <cellStyle name="표준 2 8 2 3 3 2" xfId="5234"/>
    <cellStyle name="표준 2 8 2 3 3 2 2" xfId="10111"/>
    <cellStyle name="표준 2 8 2 3 3 2 2 2" xfId="21359"/>
    <cellStyle name="표준 2 8 2 3 3 2 3" xfId="7673"/>
    <cellStyle name="표준 2 8 2 3 3 2 3 2" xfId="18921"/>
    <cellStyle name="표준 2 8 2 3 3 2 4" xfId="16483"/>
    <cellStyle name="표준 2 8 2 3 3 3" xfId="9121"/>
    <cellStyle name="표준 2 8 2 3 3 3 2" xfId="20369"/>
    <cellStyle name="표준 2 8 2 3 3 4" xfId="6683"/>
    <cellStyle name="표준 2 8 2 3 3 4 2" xfId="17931"/>
    <cellStyle name="표준 2 8 2 3 3 5" xfId="4242"/>
    <cellStyle name="표준 2 8 2 3 3 5 2" xfId="15493"/>
    <cellStyle name="표준 2 8 2 3 3 6" xfId="2797"/>
    <cellStyle name="표준 2 8 2 3 3 6 2" xfId="14075"/>
    <cellStyle name="표준 2 8 2 3 3 7" xfId="12615"/>
    <cellStyle name="표준 2 8 2 3 4" xfId="4782"/>
    <cellStyle name="표준 2 8 2 3 4 2" xfId="9659"/>
    <cellStyle name="표준 2 8 2 3 4 2 2" xfId="20907"/>
    <cellStyle name="표준 2 8 2 3 4 3" xfId="7221"/>
    <cellStyle name="표준 2 8 2 3 4 3 2" xfId="18469"/>
    <cellStyle name="표준 2 8 2 3 4 4" xfId="16031"/>
    <cellStyle name="표준 2 8 2 3 5" xfId="8669"/>
    <cellStyle name="표준 2 8 2 3 5 2" xfId="19917"/>
    <cellStyle name="표준 2 8 2 3 6" xfId="6231"/>
    <cellStyle name="표준 2 8 2 3 6 2" xfId="17479"/>
    <cellStyle name="표준 2 8 2 3 7" xfId="10982"/>
    <cellStyle name="표준 2 8 2 3 7 2" xfId="22229"/>
    <cellStyle name="표준 2 8 2 3 8" xfId="3790"/>
    <cellStyle name="표준 2 8 2 3 8 2" xfId="15041"/>
    <cellStyle name="표준 2 8 2 3 9" xfId="2145"/>
    <cellStyle name="표준 2 8 2 3 9 2" xfId="13572"/>
    <cellStyle name="표준 2 8 2 4" xfId="363"/>
    <cellStyle name="표준 2 8 2 4 2" xfId="1753"/>
    <cellStyle name="표준 2 8 2 4 2 2" xfId="10432"/>
    <cellStyle name="표준 2 8 2 4 2 2 2" xfId="21680"/>
    <cellStyle name="표준 2 8 2 4 2 3" xfId="7994"/>
    <cellStyle name="표준 2 8 2 4 2 3 2" xfId="19242"/>
    <cellStyle name="표준 2 8 2 4 2 4" xfId="5555"/>
    <cellStyle name="표준 2 8 2 4 2 4 2" xfId="16804"/>
    <cellStyle name="표준 2 8 2 4 2 5" xfId="3365"/>
    <cellStyle name="표준 2 8 2 4 2 5 2" xfId="14643"/>
    <cellStyle name="표준 2 8 2 4 2 6" xfId="13183"/>
    <cellStyle name="표준 2 8 2 4 3" xfId="1371"/>
    <cellStyle name="표준 2 8 2 4 3 2" xfId="9442"/>
    <cellStyle name="표준 2 8 2 4 3 2 2" xfId="20690"/>
    <cellStyle name="표준 2 8 2 4 3 3" xfId="2992"/>
    <cellStyle name="표준 2 8 2 4 3 3 2" xfId="14270"/>
    <cellStyle name="표준 2 8 2 4 3 4" xfId="12810"/>
    <cellStyle name="표준 2 8 2 4 4" xfId="7004"/>
    <cellStyle name="표준 2 8 2 4 4 2" xfId="18252"/>
    <cellStyle name="표준 2 8 2 4 5" xfId="4565"/>
    <cellStyle name="표준 2 8 2 4 5 2" xfId="15814"/>
    <cellStyle name="표준 2 8 2 4 6" xfId="2035"/>
    <cellStyle name="표준 2 8 2 4 6 2" xfId="13462"/>
    <cellStyle name="표준 2 8 2 4 7" xfId="12002"/>
    <cellStyle name="표준 2 8 2 5" xfId="707"/>
    <cellStyle name="표준 2 8 2 5 2" xfId="1461"/>
    <cellStyle name="표준 2 8 2 5 2 2" xfId="10516"/>
    <cellStyle name="표준 2 8 2 5 2 2 2" xfId="21764"/>
    <cellStyle name="표준 2 8 2 5 2 3" xfId="3075"/>
    <cellStyle name="표준 2 8 2 5 2 3 2" xfId="14353"/>
    <cellStyle name="표준 2 8 2 5 2 4" xfId="12893"/>
    <cellStyle name="표준 2 8 2 5 3" xfId="8078"/>
    <cellStyle name="표준 2 8 2 5 3 2" xfId="19326"/>
    <cellStyle name="표준 2 8 2 5 4" xfId="5639"/>
    <cellStyle name="표준 2 8 2 5 4 2" xfId="16888"/>
    <cellStyle name="표준 2 8 2 5 5" xfId="2339"/>
    <cellStyle name="표준 2 8 2 5 5 2" xfId="13752"/>
    <cellStyle name="표준 2 8 2 5 6" xfId="12292"/>
    <cellStyle name="표준 2 8 2 6" xfId="1066"/>
    <cellStyle name="표준 2 8 2 6 2" xfId="10546"/>
    <cellStyle name="표준 2 8 2 6 2 2" xfId="21794"/>
    <cellStyle name="표준 2 8 2 6 3" xfId="8108"/>
    <cellStyle name="표준 2 8 2 6 3 2" xfId="19356"/>
    <cellStyle name="표준 2 8 2 6 4" xfId="5669"/>
    <cellStyle name="표준 2 8 2 6 4 2" xfId="16918"/>
    <cellStyle name="표준 2 8 2 6 5" xfId="2687"/>
    <cellStyle name="표준 2 8 2 6 5 2" xfId="13965"/>
    <cellStyle name="표준 2 8 2 6 6" xfId="12505"/>
    <cellStyle name="표준 2 8 2 7" xfId="1002"/>
    <cellStyle name="표준 2 8 2 7 2" xfId="10622"/>
    <cellStyle name="표준 2 8 2 7 2 2" xfId="21870"/>
    <cellStyle name="표준 2 8 2 7 3" xfId="8184"/>
    <cellStyle name="표준 2 8 2 7 3 2" xfId="19432"/>
    <cellStyle name="표준 2 8 2 7 4" xfId="5745"/>
    <cellStyle name="표준 2 8 2 7 4 2" xfId="16994"/>
    <cellStyle name="표준 2 8 2 7 5" xfId="2623"/>
    <cellStyle name="표준 2 8 2 7 5 2" xfId="13901"/>
    <cellStyle name="표준 2 8 2 7 6" xfId="12441"/>
    <cellStyle name="표준 2 8 2 8" xfId="3671"/>
    <cellStyle name="표준 2 8 2 8 2" xfId="5828"/>
    <cellStyle name="표준 2 8 2 8 2 2" xfId="10705"/>
    <cellStyle name="표준 2 8 2 8 2 2 2" xfId="21953"/>
    <cellStyle name="표준 2 8 2 8 2 3" xfId="8267"/>
    <cellStyle name="표준 2 8 2 8 2 3 2" xfId="19515"/>
    <cellStyle name="표준 2 8 2 8 2 4" xfId="17077"/>
    <cellStyle name="표준 2 8 2 9" xfId="3631"/>
    <cellStyle name="표준 2 8 2 9 2" xfId="8530"/>
    <cellStyle name="표준 2 8 2 9 2 2" xfId="19778"/>
    <cellStyle name="표준 2 8 2 9 3" xfId="6092"/>
    <cellStyle name="표준 2 8 2 9 3 2" xfId="17340"/>
    <cellStyle name="표준 2 8 2 9 4" xfId="14902"/>
    <cellStyle name="표준 2 8 20" xfId="11752"/>
    <cellStyle name="표준 2 8 3" xfId="158"/>
    <cellStyle name="표준 2 8 3 10" xfId="3533"/>
    <cellStyle name="표준 2 8 3 10 2" xfId="14805"/>
    <cellStyle name="표준 2 8 3 11" xfId="1833"/>
    <cellStyle name="표준 2 8 3 11 2" xfId="13260"/>
    <cellStyle name="표준 2 8 3 12" xfId="11800"/>
    <cellStyle name="표준 2 8 3 2" xfId="271"/>
    <cellStyle name="표준 2 8 3 2 10" xfId="11910"/>
    <cellStyle name="표준 2 8 3 2 2" xfId="555"/>
    <cellStyle name="표준 2 8 3 2 2 2" xfId="1643"/>
    <cellStyle name="표준 2 8 3 2 2 2 2" xfId="5478"/>
    <cellStyle name="표준 2 8 3 2 2 2 2 2" xfId="10355"/>
    <cellStyle name="표준 2 8 3 2 2 2 2 2 2" xfId="21603"/>
    <cellStyle name="표준 2 8 3 2 2 2 2 3" xfId="7917"/>
    <cellStyle name="표준 2 8 3 2 2 2 2 3 2" xfId="19165"/>
    <cellStyle name="표준 2 8 3 2 2 2 2 4" xfId="16727"/>
    <cellStyle name="표준 2 8 3 2 2 2 3" xfId="9365"/>
    <cellStyle name="표준 2 8 3 2 2 2 3 2" xfId="20613"/>
    <cellStyle name="표준 2 8 3 2 2 2 4" xfId="6927"/>
    <cellStyle name="표준 2 8 3 2 2 2 4 2" xfId="18175"/>
    <cellStyle name="표준 2 8 3 2 2 2 5" xfId="4486"/>
    <cellStyle name="표준 2 8 3 2 2 2 5 2" xfId="15737"/>
    <cellStyle name="표준 2 8 3 2 2 2 6" xfId="3255"/>
    <cellStyle name="표준 2 8 3 2 2 2 6 2" xfId="14533"/>
    <cellStyle name="표준 2 8 3 2 2 2 7" xfId="13073"/>
    <cellStyle name="표준 2 8 3 2 2 3" xfId="5025"/>
    <cellStyle name="표준 2 8 3 2 2 3 2" xfId="9902"/>
    <cellStyle name="표준 2 8 3 2 2 3 2 2" xfId="21150"/>
    <cellStyle name="표준 2 8 3 2 2 3 3" xfId="7464"/>
    <cellStyle name="표준 2 8 3 2 2 3 3 2" xfId="18712"/>
    <cellStyle name="표준 2 8 3 2 2 3 4" xfId="16274"/>
    <cellStyle name="표준 2 8 3 2 2 4" xfId="8912"/>
    <cellStyle name="표준 2 8 3 2 2 4 2" xfId="20160"/>
    <cellStyle name="표준 2 8 3 2 2 5" xfId="6474"/>
    <cellStyle name="표준 2 8 3 2 2 5 2" xfId="17722"/>
    <cellStyle name="표준 2 8 3 2 2 6" xfId="4033"/>
    <cellStyle name="표준 2 8 3 2 2 6 2" xfId="15284"/>
    <cellStyle name="표준 2 8 3 2 2 7" xfId="2227"/>
    <cellStyle name="표준 2 8 3 2 2 7 2" xfId="13654"/>
    <cellStyle name="표준 2 8 3 2 2 8" xfId="12194"/>
    <cellStyle name="표준 2 8 3 2 3" xfId="1258"/>
    <cellStyle name="표준 2 8 3 2 3 2" xfId="5251"/>
    <cellStyle name="표준 2 8 3 2 3 2 2" xfId="10128"/>
    <cellStyle name="표준 2 8 3 2 3 2 2 2" xfId="21376"/>
    <cellStyle name="표준 2 8 3 2 3 2 3" xfId="7690"/>
    <cellStyle name="표준 2 8 3 2 3 2 3 2" xfId="18938"/>
    <cellStyle name="표준 2 8 3 2 3 2 4" xfId="16500"/>
    <cellStyle name="표준 2 8 3 2 3 3" xfId="9138"/>
    <cellStyle name="표준 2 8 3 2 3 3 2" xfId="20386"/>
    <cellStyle name="표준 2 8 3 2 3 4" xfId="6700"/>
    <cellStyle name="표준 2 8 3 2 3 4 2" xfId="17948"/>
    <cellStyle name="표준 2 8 3 2 3 5" xfId="4259"/>
    <cellStyle name="표준 2 8 3 2 3 5 2" xfId="15510"/>
    <cellStyle name="표준 2 8 3 2 3 6" xfId="2879"/>
    <cellStyle name="표준 2 8 3 2 3 6 2" xfId="14157"/>
    <cellStyle name="표준 2 8 3 2 3 7" xfId="12697"/>
    <cellStyle name="표준 2 8 3 2 4" xfId="4799"/>
    <cellStyle name="표준 2 8 3 2 4 2" xfId="9676"/>
    <cellStyle name="표준 2 8 3 2 4 2 2" xfId="20924"/>
    <cellStyle name="표준 2 8 3 2 4 3" xfId="7238"/>
    <cellStyle name="표준 2 8 3 2 4 3 2" xfId="18486"/>
    <cellStyle name="표준 2 8 3 2 4 4" xfId="16048"/>
    <cellStyle name="표준 2 8 3 2 5" xfId="8686"/>
    <cellStyle name="표준 2 8 3 2 5 2" xfId="19934"/>
    <cellStyle name="표준 2 8 3 2 6" xfId="6248"/>
    <cellStyle name="표준 2 8 3 2 6 2" xfId="17496"/>
    <cellStyle name="표준 2 8 3 2 7" xfId="11064"/>
    <cellStyle name="표준 2 8 3 2 7 2" xfId="22311"/>
    <cellStyle name="표준 2 8 3 2 8" xfId="3807"/>
    <cellStyle name="표준 2 8 3 2 8 2" xfId="15058"/>
    <cellStyle name="표준 2 8 3 2 9" xfId="1943"/>
    <cellStyle name="표준 2 8 3 2 9 2" xfId="13370"/>
    <cellStyle name="표준 2 8 3 3" xfId="445"/>
    <cellStyle name="표준 2 8 3 3 2" xfId="1538"/>
    <cellStyle name="표준 2 8 3 3 2 2" xfId="5299"/>
    <cellStyle name="표준 2 8 3 3 2 2 2" xfId="10176"/>
    <cellStyle name="표준 2 8 3 3 2 2 2 2" xfId="21424"/>
    <cellStyle name="표준 2 8 3 3 2 2 3" xfId="7738"/>
    <cellStyle name="표준 2 8 3 3 2 2 3 2" xfId="18986"/>
    <cellStyle name="표준 2 8 3 3 2 2 4" xfId="16548"/>
    <cellStyle name="표준 2 8 3 3 2 3" xfId="9186"/>
    <cellStyle name="표준 2 8 3 3 2 3 2" xfId="20434"/>
    <cellStyle name="표준 2 8 3 3 2 4" xfId="6748"/>
    <cellStyle name="표준 2 8 3 3 2 4 2" xfId="17996"/>
    <cellStyle name="표준 2 8 3 3 2 5" xfId="4307"/>
    <cellStyle name="표준 2 8 3 3 2 5 2" xfId="15558"/>
    <cellStyle name="표준 2 8 3 3 2 6" xfId="3150"/>
    <cellStyle name="표준 2 8 3 3 2 6 2" xfId="14428"/>
    <cellStyle name="표준 2 8 3 3 2 7" xfId="12968"/>
    <cellStyle name="표준 2 8 3 3 3" xfId="4846"/>
    <cellStyle name="표준 2 8 3 3 3 2" xfId="9723"/>
    <cellStyle name="표준 2 8 3 3 3 2 2" xfId="20971"/>
    <cellStyle name="표준 2 8 3 3 3 3" xfId="7285"/>
    <cellStyle name="표준 2 8 3 3 3 3 2" xfId="18533"/>
    <cellStyle name="표준 2 8 3 3 3 4" xfId="16095"/>
    <cellStyle name="표준 2 8 3 3 4" xfId="8733"/>
    <cellStyle name="표준 2 8 3 3 4 2" xfId="19981"/>
    <cellStyle name="표준 2 8 3 3 5" xfId="6295"/>
    <cellStyle name="표준 2 8 3 3 5 2" xfId="17543"/>
    <cellStyle name="표준 2 8 3 3 6" xfId="3854"/>
    <cellStyle name="표준 2 8 3 3 6 2" xfId="15105"/>
    <cellStyle name="표준 2 8 3 3 7" xfId="2117"/>
    <cellStyle name="표준 2 8 3 3 7 2" xfId="13544"/>
    <cellStyle name="표준 2 8 3 3 8" xfId="12084"/>
    <cellStyle name="표준 2 8 3 4" xfId="807"/>
    <cellStyle name="표준 2 8 3 4 2" xfId="5072"/>
    <cellStyle name="표준 2 8 3 4 2 2" xfId="9949"/>
    <cellStyle name="표준 2 8 3 4 2 2 2" xfId="21197"/>
    <cellStyle name="표준 2 8 3 4 2 3" xfId="7511"/>
    <cellStyle name="표준 2 8 3 4 2 3 2" xfId="18759"/>
    <cellStyle name="표준 2 8 3 4 2 4" xfId="16321"/>
    <cellStyle name="표준 2 8 3 4 3" xfId="8959"/>
    <cellStyle name="표준 2 8 3 4 3 2" xfId="20207"/>
    <cellStyle name="표준 2 8 3 4 4" xfId="6521"/>
    <cellStyle name="표준 2 8 3 4 4 2" xfId="17769"/>
    <cellStyle name="표준 2 8 3 4 5" xfId="4080"/>
    <cellStyle name="표준 2 8 3 4 5 2" xfId="15331"/>
    <cellStyle name="표준 2 8 3 4 6" xfId="2434"/>
    <cellStyle name="표준 2 8 3 4 6 2" xfId="13829"/>
    <cellStyle name="표준 2 8 3 4 7" xfId="12369"/>
    <cellStyle name="표준 2 8 3 5" xfId="1148"/>
    <cellStyle name="표준 2 8 3 5 2" xfId="9497"/>
    <cellStyle name="표준 2 8 3 5 2 2" xfId="20745"/>
    <cellStyle name="표준 2 8 3 5 3" xfId="7059"/>
    <cellStyle name="표준 2 8 3 5 3 2" xfId="18307"/>
    <cellStyle name="표준 2 8 3 5 4" xfId="4620"/>
    <cellStyle name="표준 2 8 3 5 4 2" xfId="15869"/>
    <cellStyle name="표준 2 8 3 5 5" xfId="2769"/>
    <cellStyle name="표준 2 8 3 5 5 2" xfId="14047"/>
    <cellStyle name="표준 2 8 3 5 6" xfId="12587"/>
    <cellStyle name="표준 2 8 3 6" xfId="3655"/>
    <cellStyle name="표준 2 8 3 6 2" xfId="8552"/>
    <cellStyle name="표준 2 8 3 6 2 2" xfId="19800"/>
    <cellStyle name="표준 2 8 3 6 3" xfId="6114"/>
    <cellStyle name="표준 2 8 3 6 3 2" xfId="17362"/>
    <cellStyle name="표준 2 8 3 6 4" xfId="14924"/>
    <cellStyle name="표준 2 8 3 7" xfId="8433"/>
    <cellStyle name="표준 2 8 3 7 2" xfId="19681"/>
    <cellStyle name="표준 2 8 3 8" xfId="5995"/>
    <cellStyle name="표준 2 8 3 8 2" xfId="17243"/>
    <cellStyle name="표준 2 8 3 9" xfId="10879"/>
    <cellStyle name="표준 2 8 3 9 2" xfId="22127"/>
    <cellStyle name="표준 2 8 4" xfId="223"/>
    <cellStyle name="표준 2 8 4 10" xfId="11862"/>
    <cellStyle name="표준 2 8 4 2" xfId="507"/>
    <cellStyle name="표준 2 8 4 2 2" xfId="1595"/>
    <cellStyle name="표준 2 8 4 2 2 2" xfId="5374"/>
    <cellStyle name="표준 2 8 4 2 2 2 2" xfId="10251"/>
    <cellStyle name="표준 2 8 4 2 2 2 2 2" xfId="21499"/>
    <cellStyle name="표준 2 8 4 2 2 2 3" xfId="7813"/>
    <cellStyle name="표준 2 8 4 2 2 2 3 2" xfId="19061"/>
    <cellStyle name="표준 2 8 4 2 2 2 4" xfId="16623"/>
    <cellStyle name="표준 2 8 4 2 2 3" xfId="9261"/>
    <cellStyle name="표준 2 8 4 2 2 3 2" xfId="20509"/>
    <cellStyle name="표준 2 8 4 2 2 4" xfId="6823"/>
    <cellStyle name="표준 2 8 4 2 2 4 2" xfId="18071"/>
    <cellStyle name="표준 2 8 4 2 2 5" xfId="4382"/>
    <cellStyle name="표준 2 8 4 2 2 5 2" xfId="15633"/>
    <cellStyle name="표준 2 8 4 2 2 6" xfId="3207"/>
    <cellStyle name="표준 2 8 4 2 2 6 2" xfId="14485"/>
    <cellStyle name="표준 2 8 4 2 2 7" xfId="13025"/>
    <cellStyle name="표준 2 8 4 2 3" xfId="4921"/>
    <cellStyle name="표준 2 8 4 2 3 2" xfId="9798"/>
    <cellStyle name="표준 2 8 4 2 3 2 2" xfId="21046"/>
    <cellStyle name="표준 2 8 4 2 3 3" xfId="7360"/>
    <cellStyle name="표준 2 8 4 2 3 3 2" xfId="18608"/>
    <cellStyle name="표준 2 8 4 2 3 4" xfId="16170"/>
    <cellStyle name="표준 2 8 4 2 4" xfId="8808"/>
    <cellStyle name="표준 2 8 4 2 4 2" xfId="20056"/>
    <cellStyle name="표준 2 8 4 2 5" xfId="6370"/>
    <cellStyle name="표준 2 8 4 2 5 2" xfId="17618"/>
    <cellStyle name="표준 2 8 4 2 6" xfId="3929"/>
    <cellStyle name="표준 2 8 4 2 6 2" xfId="15180"/>
    <cellStyle name="표준 2 8 4 2 7" xfId="2179"/>
    <cellStyle name="표준 2 8 4 2 7 2" xfId="13606"/>
    <cellStyle name="표준 2 8 4 2 8" xfId="12146"/>
    <cellStyle name="표준 2 8 4 3" xfId="1210"/>
    <cellStyle name="표준 2 8 4 3 2" xfId="5147"/>
    <cellStyle name="표준 2 8 4 3 2 2" xfId="10024"/>
    <cellStyle name="표준 2 8 4 3 2 2 2" xfId="21272"/>
    <cellStyle name="표준 2 8 4 3 2 3" xfId="7586"/>
    <cellStyle name="표준 2 8 4 3 2 3 2" xfId="18834"/>
    <cellStyle name="표준 2 8 4 3 2 4" xfId="16396"/>
    <cellStyle name="표준 2 8 4 3 3" xfId="9034"/>
    <cellStyle name="표준 2 8 4 3 3 2" xfId="20282"/>
    <cellStyle name="표준 2 8 4 3 4" xfId="6596"/>
    <cellStyle name="표준 2 8 4 3 4 2" xfId="17844"/>
    <cellStyle name="표준 2 8 4 3 5" xfId="4155"/>
    <cellStyle name="표준 2 8 4 3 5 2" xfId="15406"/>
    <cellStyle name="표준 2 8 4 3 6" xfId="2831"/>
    <cellStyle name="표준 2 8 4 3 6 2" xfId="14109"/>
    <cellStyle name="표준 2 8 4 3 7" xfId="12649"/>
    <cellStyle name="표준 2 8 4 4" xfId="4695"/>
    <cellStyle name="표준 2 8 4 4 2" xfId="9572"/>
    <cellStyle name="표준 2 8 4 4 2 2" xfId="20820"/>
    <cellStyle name="표준 2 8 4 4 3" xfId="7134"/>
    <cellStyle name="표준 2 8 4 4 3 2" xfId="18382"/>
    <cellStyle name="표준 2 8 4 4 4" xfId="15944"/>
    <cellStyle name="표준 2 8 4 5" xfId="8591"/>
    <cellStyle name="표준 2 8 4 5 2" xfId="19839"/>
    <cellStyle name="표준 2 8 4 6" xfId="6153"/>
    <cellStyle name="표준 2 8 4 6 2" xfId="17401"/>
    <cellStyle name="표준 2 8 4 7" xfId="10981"/>
    <cellStyle name="표준 2 8 4 7 2" xfId="22228"/>
    <cellStyle name="표준 2 8 4 8" xfId="3712"/>
    <cellStyle name="표준 2 8 4 8 2" xfId="14963"/>
    <cellStyle name="표준 2 8 4 9" xfId="1895"/>
    <cellStyle name="표준 2 8 4 9 2" xfId="13322"/>
    <cellStyle name="표준 2 8 5" xfId="397"/>
    <cellStyle name="표준 2 8 5 2" xfId="1495"/>
    <cellStyle name="표준 2 8 5 2 2" xfId="4468"/>
    <cellStyle name="표준 2 8 5 2 2 2" xfId="5460"/>
    <cellStyle name="표준 2 8 5 2 2 2 2" xfId="10337"/>
    <cellStyle name="표준 2 8 5 2 2 2 2 2" xfId="21585"/>
    <cellStyle name="표준 2 8 5 2 2 2 3" xfId="7899"/>
    <cellStyle name="표준 2 8 5 2 2 2 3 2" xfId="19147"/>
    <cellStyle name="표준 2 8 5 2 2 2 4" xfId="16709"/>
    <cellStyle name="표준 2 8 5 2 2 3" xfId="9347"/>
    <cellStyle name="표준 2 8 5 2 2 3 2" xfId="20595"/>
    <cellStyle name="표준 2 8 5 2 2 4" xfId="6909"/>
    <cellStyle name="표준 2 8 5 2 2 4 2" xfId="18157"/>
    <cellStyle name="표준 2 8 5 2 2 5" xfId="15719"/>
    <cellStyle name="표준 2 8 5 2 3" xfId="5007"/>
    <cellStyle name="표준 2 8 5 2 3 2" xfId="9884"/>
    <cellStyle name="표준 2 8 5 2 3 2 2" xfId="21132"/>
    <cellStyle name="표준 2 8 5 2 3 3" xfId="7446"/>
    <cellStyle name="표준 2 8 5 2 3 3 2" xfId="18694"/>
    <cellStyle name="표준 2 8 5 2 3 4" xfId="16256"/>
    <cellStyle name="표준 2 8 5 2 4" xfId="8894"/>
    <cellStyle name="표준 2 8 5 2 4 2" xfId="20142"/>
    <cellStyle name="표준 2 8 5 2 5" xfId="6456"/>
    <cellStyle name="표준 2 8 5 2 5 2" xfId="17704"/>
    <cellStyle name="표준 2 8 5 2 6" xfId="4015"/>
    <cellStyle name="표준 2 8 5 2 6 2" xfId="15266"/>
    <cellStyle name="표준 2 8 5 2 7" xfId="3107"/>
    <cellStyle name="표준 2 8 5 2 7 2" xfId="14385"/>
    <cellStyle name="표준 2 8 5 2 8" xfId="12925"/>
    <cellStyle name="표준 2 8 5 3" xfId="1100"/>
    <cellStyle name="표준 2 8 5 3 2" xfId="5233"/>
    <cellStyle name="표준 2 8 5 3 2 2" xfId="10110"/>
    <cellStyle name="표준 2 8 5 3 2 2 2" xfId="21358"/>
    <cellStyle name="표준 2 8 5 3 2 3" xfId="7672"/>
    <cellStyle name="표준 2 8 5 3 2 3 2" xfId="18920"/>
    <cellStyle name="표준 2 8 5 3 2 4" xfId="16482"/>
    <cellStyle name="표준 2 8 5 3 3" xfId="9120"/>
    <cellStyle name="표준 2 8 5 3 3 2" xfId="20368"/>
    <cellStyle name="표준 2 8 5 3 4" xfId="6682"/>
    <cellStyle name="표준 2 8 5 3 4 2" xfId="17930"/>
    <cellStyle name="표준 2 8 5 3 5" xfId="4241"/>
    <cellStyle name="표준 2 8 5 3 5 2" xfId="15492"/>
    <cellStyle name="표준 2 8 5 3 6" xfId="2721"/>
    <cellStyle name="표준 2 8 5 3 6 2" xfId="13999"/>
    <cellStyle name="표준 2 8 5 3 7" xfId="12539"/>
    <cellStyle name="표준 2 8 5 4" xfId="4781"/>
    <cellStyle name="표준 2 8 5 4 2" xfId="9658"/>
    <cellStyle name="표준 2 8 5 4 2 2" xfId="20906"/>
    <cellStyle name="표준 2 8 5 4 3" xfId="7220"/>
    <cellStyle name="표준 2 8 5 4 3 2" xfId="18468"/>
    <cellStyle name="표준 2 8 5 4 4" xfId="16030"/>
    <cellStyle name="표준 2 8 5 5" xfId="8668"/>
    <cellStyle name="표준 2 8 5 5 2" xfId="19916"/>
    <cellStyle name="표준 2 8 5 6" xfId="6230"/>
    <cellStyle name="표준 2 8 5 6 2" xfId="17478"/>
    <cellStyle name="표준 2 8 5 7" xfId="3789"/>
    <cellStyle name="표준 2 8 5 7 2" xfId="15040"/>
    <cellStyle name="표준 2 8 5 8" xfId="2069"/>
    <cellStyle name="표준 2 8 5 8 2" xfId="13496"/>
    <cellStyle name="표준 2 8 5 9" xfId="12036"/>
    <cellStyle name="표준 2 8 6" xfId="335"/>
    <cellStyle name="표준 2 8 6 2" xfId="1752"/>
    <cellStyle name="표준 2 8 6 2 2" xfId="5277"/>
    <cellStyle name="표준 2 8 6 2 2 2" xfId="10154"/>
    <cellStyle name="표준 2 8 6 2 2 2 2" xfId="21402"/>
    <cellStyle name="표준 2 8 6 2 2 3" xfId="7716"/>
    <cellStyle name="표준 2 8 6 2 2 3 2" xfId="18964"/>
    <cellStyle name="표준 2 8 6 2 2 4" xfId="16526"/>
    <cellStyle name="표준 2 8 6 2 3" xfId="9164"/>
    <cellStyle name="표준 2 8 6 2 3 2" xfId="20412"/>
    <cellStyle name="표준 2 8 6 2 4" xfId="6726"/>
    <cellStyle name="표준 2 8 6 2 4 2" xfId="17974"/>
    <cellStyle name="표준 2 8 6 2 5" xfId="4285"/>
    <cellStyle name="표준 2 8 6 2 5 2" xfId="15536"/>
    <cellStyle name="표준 2 8 6 2 6" xfId="3364"/>
    <cellStyle name="표준 2 8 6 2 6 2" xfId="14642"/>
    <cellStyle name="표준 2 8 6 2 7" xfId="13182"/>
    <cellStyle name="표준 2 8 6 3" xfId="1370"/>
    <cellStyle name="표준 2 8 6 3 2" xfId="9701"/>
    <cellStyle name="표준 2 8 6 3 2 2" xfId="20949"/>
    <cellStyle name="표준 2 8 6 3 3" xfId="7263"/>
    <cellStyle name="표준 2 8 6 3 3 2" xfId="18511"/>
    <cellStyle name="표준 2 8 6 3 4" xfId="4824"/>
    <cellStyle name="표준 2 8 6 3 4 2" xfId="16073"/>
    <cellStyle name="표준 2 8 6 3 5" xfId="2991"/>
    <cellStyle name="표준 2 8 6 3 5 2" xfId="14269"/>
    <cellStyle name="표준 2 8 6 3 6" xfId="12809"/>
    <cellStyle name="표준 2 8 6 4" xfId="8711"/>
    <cellStyle name="표준 2 8 6 4 2" xfId="19959"/>
    <cellStyle name="표준 2 8 6 5" xfId="6273"/>
    <cellStyle name="표준 2 8 6 5 2" xfId="17521"/>
    <cellStyle name="표준 2 8 6 6" xfId="3832"/>
    <cellStyle name="표준 2 8 6 6 2" xfId="15083"/>
    <cellStyle name="표준 2 8 6 7" xfId="2007"/>
    <cellStyle name="표준 2 8 6 7 2" xfId="13434"/>
    <cellStyle name="표준 2 8 6 8" xfId="11974"/>
    <cellStyle name="표준 2 8 7" xfId="634"/>
    <cellStyle name="표준 2 8 7 2" xfId="1460"/>
    <cellStyle name="표준 2 8 7 2 2" xfId="9927"/>
    <cellStyle name="표준 2 8 7 2 2 2" xfId="21175"/>
    <cellStyle name="표준 2 8 7 2 3" xfId="7489"/>
    <cellStyle name="표준 2 8 7 2 3 2" xfId="18737"/>
    <cellStyle name="표준 2 8 7 2 4" xfId="5050"/>
    <cellStyle name="표준 2 8 7 2 4 2" xfId="16299"/>
    <cellStyle name="표준 2 8 7 2 5" xfId="3074"/>
    <cellStyle name="표준 2 8 7 2 5 2" xfId="14352"/>
    <cellStyle name="표준 2 8 7 2 6" xfId="12892"/>
    <cellStyle name="표준 2 8 7 3" xfId="8937"/>
    <cellStyle name="표준 2 8 7 3 2" xfId="20185"/>
    <cellStyle name="표준 2 8 7 4" xfId="6499"/>
    <cellStyle name="표준 2 8 7 4 2" xfId="17747"/>
    <cellStyle name="표준 2 8 7 5" xfId="4058"/>
    <cellStyle name="표준 2 8 7 5 2" xfId="15309"/>
    <cellStyle name="표준 2 8 7 6" xfId="2305"/>
    <cellStyle name="표준 2 8 7 6 2" xfId="13720"/>
    <cellStyle name="표준 2 8 7 7" xfId="12260"/>
    <cellStyle name="표준 2 8 8" xfId="1038"/>
    <cellStyle name="표준 2 8 8 2" xfId="5554"/>
    <cellStyle name="표준 2 8 8 2 2" xfId="10431"/>
    <cellStyle name="표준 2 8 8 2 2 2" xfId="21679"/>
    <cellStyle name="표준 2 8 8 2 3" xfId="7993"/>
    <cellStyle name="표준 2 8 8 2 3 2" xfId="19241"/>
    <cellStyle name="표준 2 8 8 2 4" xfId="16803"/>
    <cellStyle name="표준 2 8 8 3" xfId="9441"/>
    <cellStyle name="표준 2 8 8 3 2" xfId="20689"/>
    <cellStyle name="표준 2 8 8 4" xfId="7003"/>
    <cellStyle name="표준 2 8 8 4 2" xfId="18251"/>
    <cellStyle name="표준 2 8 8 5" xfId="4564"/>
    <cellStyle name="표준 2 8 8 5 2" xfId="15813"/>
    <cellStyle name="표준 2 8 8 6" xfId="2659"/>
    <cellStyle name="표준 2 8 8 6 2" xfId="13937"/>
    <cellStyle name="표준 2 8 8 7" xfId="12477"/>
    <cellStyle name="표준 2 8 9" xfId="975"/>
    <cellStyle name="표준 2 8 9 2" xfId="9475"/>
    <cellStyle name="표준 2 8 9 2 2" xfId="20723"/>
    <cellStyle name="표준 2 8 9 3" xfId="7037"/>
    <cellStyle name="표준 2 8 9 3 2" xfId="18285"/>
    <cellStyle name="표준 2 8 9 4" xfId="4598"/>
    <cellStyle name="표준 2 8 9 4 2" xfId="15847"/>
    <cellStyle name="표준 2 8 9 5" xfId="2596"/>
    <cellStyle name="표준 2 8 9 5 2" xfId="13874"/>
    <cellStyle name="표준 2 8 9 6" xfId="12414"/>
    <cellStyle name="표준 2 9" xfId="86"/>
    <cellStyle name="표준 2 9 10" xfId="3632"/>
    <cellStyle name="표준 2 9 10 2" xfId="8531"/>
    <cellStyle name="표준 2 9 10 2 2" xfId="19779"/>
    <cellStyle name="표준 2 9 10 3" xfId="6093"/>
    <cellStyle name="표준 2 9 10 3 2" xfId="17341"/>
    <cellStyle name="표준 2 9 10 4" xfId="14903"/>
    <cellStyle name="표준 2 9 11" xfId="8352"/>
    <cellStyle name="표준 2 9 11 2" xfId="19600"/>
    <cellStyle name="표준 2 9 12" xfId="5914"/>
    <cellStyle name="표준 2 9 12 2" xfId="17162"/>
    <cellStyle name="표준 2 9 13" xfId="10798"/>
    <cellStyle name="표준 2 9 13 2" xfId="22046"/>
    <cellStyle name="표준 2 9 14" xfId="3446"/>
    <cellStyle name="표준 2 9 14 2" xfId="14724"/>
    <cellStyle name="표준 2 9 15" xfId="1802"/>
    <cellStyle name="표준 2 9 15 2" xfId="13231"/>
    <cellStyle name="표준 2 9 16" xfId="11771"/>
    <cellStyle name="표준 2 9 2" xfId="191"/>
    <cellStyle name="표준 2 9 2 10" xfId="5830"/>
    <cellStyle name="표준 2 9 2 10 2" xfId="10707"/>
    <cellStyle name="표준 2 9 2 10 2 2" xfId="21955"/>
    <cellStyle name="표준 2 9 2 10 3" xfId="8269"/>
    <cellStyle name="표준 2 9 2 10 3 2" xfId="19517"/>
    <cellStyle name="표준 2 9 2 10 4" xfId="17079"/>
    <cellStyle name="표준 2 9 2 11" xfId="3633"/>
    <cellStyle name="표준 2 9 2 11 2" xfId="8532"/>
    <cellStyle name="표준 2 9 2 11 2 2" xfId="19780"/>
    <cellStyle name="표준 2 9 2 11 3" xfId="6094"/>
    <cellStyle name="표준 2 9 2 11 3 2" xfId="17342"/>
    <cellStyle name="표준 2 9 2 11 4" xfId="14904"/>
    <cellStyle name="표준 2 9 2 12" xfId="8353"/>
    <cellStyle name="표준 2 9 2 12 2" xfId="19601"/>
    <cellStyle name="표준 2 9 2 13" xfId="5915"/>
    <cellStyle name="표준 2 9 2 13 2" xfId="17163"/>
    <cellStyle name="표준 2 9 2 14" xfId="10799"/>
    <cellStyle name="표준 2 9 2 14 2" xfId="22047"/>
    <cellStyle name="표준 2 9 2 15" xfId="3447"/>
    <cellStyle name="표준 2 9 2 15 2" xfId="14725"/>
    <cellStyle name="표준 2 9 2 16" xfId="1864"/>
    <cellStyle name="표준 2 9 2 16 2" xfId="13291"/>
    <cellStyle name="표준 2 9 2 17" xfId="11831"/>
    <cellStyle name="표준 2 9 2 2" xfId="302"/>
    <cellStyle name="표준 2 9 2 2 10" xfId="1974"/>
    <cellStyle name="표준 2 9 2 2 10 2" xfId="13401"/>
    <cellStyle name="표준 2 9 2 2 11" xfId="11941"/>
    <cellStyle name="표준 2 9 2 2 2" xfId="586"/>
    <cellStyle name="표준 2 9 2 2 2 2" xfId="1674"/>
    <cellStyle name="표준 2 9 2 2 2 2 2" xfId="5463"/>
    <cellStyle name="표준 2 9 2 2 2 2 2 2" xfId="10340"/>
    <cellStyle name="표준 2 9 2 2 2 2 2 2 2" xfId="21588"/>
    <cellStyle name="표준 2 9 2 2 2 2 2 3" xfId="7902"/>
    <cellStyle name="표준 2 9 2 2 2 2 2 3 2" xfId="19150"/>
    <cellStyle name="표준 2 9 2 2 2 2 2 4" xfId="16712"/>
    <cellStyle name="표준 2 9 2 2 2 2 3" xfId="9350"/>
    <cellStyle name="표준 2 9 2 2 2 2 3 2" xfId="20598"/>
    <cellStyle name="표준 2 9 2 2 2 2 4" xfId="6912"/>
    <cellStyle name="표준 2 9 2 2 2 2 4 2" xfId="18160"/>
    <cellStyle name="표준 2 9 2 2 2 2 5" xfId="4471"/>
    <cellStyle name="표준 2 9 2 2 2 2 5 2" xfId="15722"/>
    <cellStyle name="표준 2 9 2 2 2 2 6" xfId="3286"/>
    <cellStyle name="표준 2 9 2 2 2 2 6 2" xfId="14564"/>
    <cellStyle name="표준 2 9 2 2 2 2 7" xfId="13104"/>
    <cellStyle name="표준 2 9 2 2 2 3" xfId="5010"/>
    <cellStyle name="표준 2 9 2 2 2 3 2" xfId="9887"/>
    <cellStyle name="표준 2 9 2 2 2 3 2 2" xfId="21135"/>
    <cellStyle name="표준 2 9 2 2 2 3 3" xfId="7449"/>
    <cellStyle name="표준 2 9 2 2 2 3 3 2" xfId="18697"/>
    <cellStyle name="표준 2 9 2 2 2 3 4" xfId="16259"/>
    <cellStyle name="표준 2 9 2 2 2 4" xfId="8897"/>
    <cellStyle name="표준 2 9 2 2 2 4 2" xfId="20145"/>
    <cellStyle name="표준 2 9 2 2 2 5" xfId="6459"/>
    <cellStyle name="표준 2 9 2 2 2 5 2" xfId="17707"/>
    <cellStyle name="표준 2 9 2 2 2 6" xfId="11067"/>
    <cellStyle name="표준 2 9 2 2 2 6 2" xfId="22314"/>
    <cellStyle name="표준 2 9 2 2 2 7" xfId="4018"/>
    <cellStyle name="표준 2 9 2 2 2 7 2" xfId="15269"/>
    <cellStyle name="표준 2 9 2 2 2 8" xfId="2258"/>
    <cellStyle name="표준 2 9 2 2 2 8 2" xfId="13685"/>
    <cellStyle name="표준 2 9 2 2 2 9" xfId="12225"/>
    <cellStyle name="표준 2 9 2 2 3" xfId="810"/>
    <cellStyle name="표준 2 9 2 2 3 2" xfId="5236"/>
    <cellStyle name="표준 2 9 2 2 3 2 2" xfId="10113"/>
    <cellStyle name="표준 2 9 2 2 3 2 2 2" xfId="21361"/>
    <cellStyle name="표준 2 9 2 2 3 2 3" xfId="7675"/>
    <cellStyle name="표준 2 9 2 2 3 2 3 2" xfId="18923"/>
    <cellStyle name="표준 2 9 2 2 3 2 4" xfId="16485"/>
    <cellStyle name="표준 2 9 2 2 3 3" xfId="9123"/>
    <cellStyle name="표준 2 9 2 2 3 3 2" xfId="20371"/>
    <cellStyle name="표준 2 9 2 2 3 4" xfId="6685"/>
    <cellStyle name="표준 2 9 2 2 3 4 2" xfId="17933"/>
    <cellStyle name="표준 2 9 2 2 3 5" xfId="4244"/>
    <cellStyle name="표준 2 9 2 2 3 5 2" xfId="15495"/>
    <cellStyle name="표준 2 9 2 2 3 6" xfId="2437"/>
    <cellStyle name="표준 2 9 2 2 3 6 2" xfId="13832"/>
    <cellStyle name="표준 2 9 2 2 3 7" xfId="12372"/>
    <cellStyle name="표준 2 9 2 2 4" xfId="1289"/>
    <cellStyle name="표준 2 9 2 2 4 2" xfId="9661"/>
    <cellStyle name="표준 2 9 2 2 4 2 2" xfId="20909"/>
    <cellStyle name="표준 2 9 2 2 4 3" xfId="7223"/>
    <cellStyle name="표준 2 9 2 2 4 3 2" xfId="18471"/>
    <cellStyle name="표준 2 9 2 2 4 4" xfId="4784"/>
    <cellStyle name="표준 2 9 2 2 4 4 2" xfId="16033"/>
    <cellStyle name="표준 2 9 2 2 4 5" xfId="2910"/>
    <cellStyle name="표준 2 9 2 2 4 5 2" xfId="14188"/>
    <cellStyle name="표준 2 9 2 2 4 6" xfId="12728"/>
    <cellStyle name="표준 2 9 2 2 5" xfId="3792"/>
    <cellStyle name="표준 2 9 2 2 5 2" xfId="8671"/>
    <cellStyle name="표준 2 9 2 2 5 2 2" xfId="19919"/>
    <cellStyle name="표준 2 9 2 2 5 3" xfId="6233"/>
    <cellStyle name="표준 2 9 2 2 5 3 2" xfId="17481"/>
    <cellStyle name="표준 2 9 2 2 5 4" xfId="15043"/>
    <cellStyle name="표준 2 9 2 2 6" xfId="8436"/>
    <cellStyle name="표준 2 9 2 2 6 2" xfId="19684"/>
    <cellStyle name="표준 2 9 2 2 7" xfId="5998"/>
    <cellStyle name="표준 2 9 2 2 7 2" xfId="17246"/>
    <cellStyle name="표준 2 9 2 2 8" xfId="10882"/>
    <cellStyle name="표준 2 9 2 2 8 2" xfId="22130"/>
    <cellStyle name="표준 2 9 2 2 9" xfId="3536"/>
    <cellStyle name="표준 2 9 2 2 9 2" xfId="14808"/>
    <cellStyle name="표준 2 9 2 3" xfId="476"/>
    <cellStyle name="표준 2 9 2 3 2" xfId="1569"/>
    <cellStyle name="표준 2 9 2 3 2 2" xfId="5377"/>
    <cellStyle name="표준 2 9 2 3 2 2 2" xfId="10254"/>
    <cellStyle name="표준 2 9 2 3 2 2 2 2" xfId="21502"/>
    <cellStyle name="표준 2 9 2 3 2 2 3" xfId="7816"/>
    <cellStyle name="표준 2 9 2 3 2 2 3 2" xfId="19064"/>
    <cellStyle name="표준 2 9 2 3 2 2 4" xfId="16626"/>
    <cellStyle name="표준 2 9 2 3 2 3" xfId="9264"/>
    <cellStyle name="표준 2 9 2 3 2 3 2" xfId="20512"/>
    <cellStyle name="표준 2 9 2 3 2 4" xfId="6826"/>
    <cellStyle name="표준 2 9 2 3 2 4 2" xfId="18074"/>
    <cellStyle name="표준 2 9 2 3 2 5" xfId="4385"/>
    <cellStyle name="표준 2 9 2 3 2 5 2" xfId="15636"/>
    <cellStyle name="표준 2 9 2 3 2 6" xfId="3181"/>
    <cellStyle name="표준 2 9 2 3 2 6 2" xfId="14459"/>
    <cellStyle name="표준 2 9 2 3 2 7" xfId="12999"/>
    <cellStyle name="표준 2 9 2 3 3" xfId="1179"/>
    <cellStyle name="표준 2 9 2 3 3 2" xfId="9801"/>
    <cellStyle name="표준 2 9 2 3 3 2 2" xfId="21049"/>
    <cellStyle name="표준 2 9 2 3 3 3" xfId="7363"/>
    <cellStyle name="표준 2 9 2 3 3 3 2" xfId="18611"/>
    <cellStyle name="표준 2 9 2 3 3 4" xfId="4924"/>
    <cellStyle name="표준 2 9 2 3 3 4 2" xfId="16173"/>
    <cellStyle name="표준 2 9 2 3 3 5" xfId="2800"/>
    <cellStyle name="표준 2 9 2 3 3 5 2" xfId="14078"/>
    <cellStyle name="표준 2 9 2 3 3 6" xfId="12618"/>
    <cellStyle name="표준 2 9 2 3 4" xfId="8811"/>
    <cellStyle name="표준 2 9 2 3 4 2" xfId="20059"/>
    <cellStyle name="표준 2 9 2 3 5" xfId="6373"/>
    <cellStyle name="표준 2 9 2 3 5 2" xfId="17621"/>
    <cellStyle name="표준 2 9 2 3 6" xfId="10984"/>
    <cellStyle name="표준 2 9 2 3 6 2" xfId="22231"/>
    <cellStyle name="표준 2 9 2 3 7" xfId="3932"/>
    <cellStyle name="표준 2 9 2 3 7 2" xfId="15183"/>
    <cellStyle name="표준 2 9 2 3 8" xfId="2148"/>
    <cellStyle name="표준 2 9 2 3 8 2" xfId="13575"/>
    <cellStyle name="표준 2 9 2 3 9" xfId="12115"/>
    <cellStyle name="표준 2 9 2 4" xfId="366"/>
    <cellStyle name="표준 2 9 2 4 2" xfId="1755"/>
    <cellStyle name="표준 2 9 2 4 2 2" xfId="10027"/>
    <cellStyle name="표준 2 9 2 4 2 2 2" xfId="21275"/>
    <cellStyle name="표준 2 9 2 4 2 3" xfId="7589"/>
    <cellStyle name="표준 2 9 2 4 2 3 2" xfId="18837"/>
    <cellStyle name="표준 2 9 2 4 2 4" xfId="5150"/>
    <cellStyle name="표준 2 9 2 4 2 4 2" xfId="16399"/>
    <cellStyle name="표준 2 9 2 4 2 5" xfId="3367"/>
    <cellStyle name="표준 2 9 2 4 2 5 2" xfId="14645"/>
    <cellStyle name="표준 2 9 2 4 2 6" xfId="13185"/>
    <cellStyle name="표준 2 9 2 4 3" xfId="1373"/>
    <cellStyle name="표준 2 9 2 4 3 2" xfId="9037"/>
    <cellStyle name="표준 2 9 2 4 3 2 2" xfId="20285"/>
    <cellStyle name="표준 2 9 2 4 3 3" xfId="2994"/>
    <cellStyle name="표준 2 9 2 4 3 3 2" xfId="14272"/>
    <cellStyle name="표준 2 9 2 4 3 4" xfId="12812"/>
    <cellStyle name="표준 2 9 2 4 4" xfId="6599"/>
    <cellStyle name="표준 2 9 2 4 4 2" xfId="17847"/>
    <cellStyle name="표준 2 9 2 4 5" xfId="4158"/>
    <cellStyle name="표준 2 9 2 4 5 2" xfId="15409"/>
    <cellStyle name="표준 2 9 2 4 6" xfId="2038"/>
    <cellStyle name="표준 2 9 2 4 6 2" xfId="13465"/>
    <cellStyle name="표준 2 9 2 4 7" xfId="12005"/>
    <cellStyle name="표준 2 9 2 5" xfId="710"/>
    <cellStyle name="표준 2 9 2 5 2" xfId="1463"/>
    <cellStyle name="표준 2 9 2 5 2 2" xfId="10434"/>
    <cellStyle name="표준 2 9 2 5 2 2 2" xfId="21682"/>
    <cellStyle name="표준 2 9 2 5 2 3" xfId="7996"/>
    <cellStyle name="표준 2 9 2 5 2 3 2" xfId="19244"/>
    <cellStyle name="표준 2 9 2 5 2 4" xfId="5557"/>
    <cellStyle name="표준 2 9 2 5 2 4 2" xfId="16806"/>
    <cellStyle name="표준 2 9 2 5 2 5" xfId="3077"/>
    <cellStyle name="표준 2 9 2 5 2 5 2" xfId="14355"/>
    <cellStyle name="표준 2 9 2 5 2 6" xfId="12895"/>
    <cellStyle name="표준 2 9 2 5 3" xfId="9444"/>
    <cellStyle name="표준 2 9 2 5 3 2" xfId="20692"/>
    <cellStyle name="표준 2 9 2 5 4" xfId="7006"/>
    <cellStyle name="표준 2 9 2 5 4 2" xfId="18254"/>
    <cellStyle name="표준 2 9 2 5 5" xfId="4567"/>
    <cellStyle name="표준 2 9 2 5 5 2" xfId="15816"/>
    <cellStyle name="표준 2 9 2 5 6" xfId="2342"/>
    <cellStyle name="표준 2 9 2 5 6 2" xfId="13755"/>
    <cellStyle name="표준 2 9 2 5 7" xfId="12295"/>
    <cellStyle name="표준 2 9 2 6" xfId="1069"/>
    <cellStyle name="표준 2 9 2 6 2" xfId="9575"/>
    <cellStyle name="표준 2 9 2 6 2 2" xfId="20823"/>
    <cellStyle name="표준 2 9 2 6 3" xfId="7137"/>
    <cellStyle name="표준 2 9 2 6 3 2" xfId="18385"/>
    <cellStyle name="표준 2 9 2 6 4" xfId="4698"/>
    <cellStyle name="표준 2 9 2 6 4 2" xfId="15947"/>
    <cellStyle name="표준 2 9 2 6 5" xfId="2690"/>
    <cellStyle name="표준 2 9 2 6 5 2" xfId="13968"/>
    <cellStyle name="표준 2 9 2 6 6" xfId="12508"/>
    <cellStyle name="표준 2 9 2 7" xfId="1005"/>
    <cellStyle name="표준 2 9 2 7 2" xfId="10518"/>
    <cellStyle name="표준 2 9 2 7 2 2" xfId="21766"/>
    <cellStyle name="표준 2 9 2 7 3" xfId="8080"/>
    <cellStyle name="표준 2 9 2 7 3 2" xfId="19328"/>
    <cellStyle name="표준 2 9 2 7 4" xfId="5641"/>
    <cellStyle name="표준 2 9 2 7 4 2" xfId="16890"/>
    <cellStyle name="표준 2 9 2 7 5" xfId="2626"/>
    <cellStyle name="표준 2 9 2 7 5 2" xfId="13904"/>
    <cellStyle name="표준 2 9 2 7 6" xfId="12444"/>
    <cellStyle name="표준 2 9 2 8" xfId="5670"/>
    <cellStyle name="표준 2 9 2 8 2" xfId="10547"/>
    <cellStyle name="표준 2 9 2 8 2 2" xfId="21795"/>
    <cellStyle name="표준 2 9 2 8 3" xfId="8109"/>
    <cellStyle name="표준 2 9 2 8 3 2" xfId="19357"/>
    <cellStyle name="표준 2 9 2 8 4" xfId="16919"/>
    <cellStyle name="표준 2 9 2 9" xfId="5747"/>
    <cellStyle name="표준 2 9 2 9 2" xfId="10624"/>
    <cellStyle name="표준 2 9 2 9 2 2" xfId="21872"/>
    <cellStyle name="표준 2 9 2 9 3" xfId="8186"/>
    <cellStyle name="표준 2 9 2 9 3 2" xfId="19434"/>
    <cellStyle name="표준 2 9 2 9 4" xfId="16996"/>
    <cellStyle name="표준 2 9 3" xfId="162"/>
    <cellStyle name="표준 2 9 3 10" xfId="1836"/>
    <cellStyle name="표준 2 9 3 10 2" xfId="13263"/>
    <cellStyle name="표준 2 9 3 11" xfId="11803"/>
    <cellStyle name="표준 2 9 3 2" xfId="274"/>
    <cellStyle name="표준 2 9 3 2 2" xfId="558"/>
    <cellStyle name="표준 2 9 3 2 2 2" xfId="1646"/>
    <cellStyle name="표준 2 9 3 2 2 2 2" xfId="10253"/>
    <cellStyle name="표준 2 9 3 2 2 2 2 2" xfId="21501"/>
    <cellStyle name="표준 2 9 3 2 2 2 3" xfId="7815"/>
    <cellStyle name="표준 2 9 3 2 2 2 3 2" xfId="19063"/>
    <cellStyle name="표준 2 9 3 2 2 2 4" xfId="5376"/>
    <cellStyle name="표준 2 9 3 2 2 2 4 2" xfId="16625"/>
    <cellStyle name="표준 2 9 3 2 2 2 5" xfId="3258"/>
    <cellStyle name="표준 2 9 3 2 2 2 5 2" xfId="14536"/>
    <cellStyle name="표준 2 9 3 2 2 2 6" xfId="13076"/>
    <cellStyle name="표준 2 9 3 2 2 3" xfId="9263"/>
    <cellStyle name="표준 2 9 3 2 2 3 2" xfId="20511"/>
    <cellStyle name="표준 2 9 3 2 2 4" xfId="6825"/>
    <cellStyle name="표준 2 9 3 2 2 4 2" xfId="18073"/>
    <cellStyle name="표준 2 9 3 2 2 5" xfId="4384"/>
    <cellStyle name="표준 2 9 3 2 2 5 2" xfId="15635"/>
    <cellStyle name="표준 2 9 3 2 2 6" xfId="2230"/>
    <cellStyle name="표준 2 9 3 2 2 6 2" xfId="13657"/>
    <cellStyle name="표준 2 9 3 2 2 7" xfId="12197"/>
    <cellStyle name="표준 2 9 3 2 3" xfId="1261"/>
    <cellStyle name="표준 2 9 3 2 3 2" xfId="9800"/>
    <cellStyle name="표준 2 9 3 2 3 2 2" xfId="21048"/>
    <cellStyle name="표준 2 9 3 2 3 3" xfId="7362"/>
    <cellStyle name="표준 2 9 3 2 3 3 2" xfId="18610"/>
    <cellStyle name="표준 2 9 3 2 3 4" xfId="4923"/>
    <cellStyle name="표준 2 9 3 2 3 4 2" xfId="16172"/>
    <cellStyle name="표준 2 9 3 2 3 5" xfId="2882"/>
    <cellStyle name="표준 2 9 3 2 3 5 2" xfId="14160"/>
    <cellStyle name="표준 2 9 3 2 3 6" xfId="12700"/>
    <cellStyle name="표준 2 9 3 2 4" xfId="8810"/>
    <cellStyle name="표준 2 9 3 2 4 2" xfId="20058"/>
    <cellStyle name="표준 2 9 3 2 5" xfId="6372"/>
    <cellStyle name="표준 2 9 3 2 5 2" xfId="17620"/>
    <cellStyle name="표준 2 9 3 2 6" xfId="11066"/>
    <cellStyle name="표준 2 9 3 2 6 2" xfId="22313"/>
    <cellStyle name="표준 2 9 3 2 7" xfId="3931"/>
    <cellStyle name="표준 2 9 3 2 7 2" xfId="15182"/>
    <cellStyle name="표준 2 9 3 2 8" xfId="1946"/>
    <cellStyle name="표준 2 9 3 2 8 2" xfId="13373"/>
    <cellStyle name="표준 2 9 3 2 9" xfId="11913"/>
    <cellStyle name="표준 2 9 3 3" xfId="448"/>
    <cellStyle name="표준 2 9 3 3 2" xfId="1541"/>
    <cellStyle name="표준 2 9 3 3 2 2" xfId="10026"/>
    <cellStyle name="표준 2 9 3 3 2 2 2" xfId="21274"/>
    <cellStyle name="표준 2 9 3 3 2 3" xfId="7588"/>
    <cellStyle name="표준 2 9 3 3 2 3 2" xfId="18836"/>
    <cellStyle name="표준 2 9 3 3 2 4" xfId="5149"/>
    <cellStyle name="표준 2 9 3 3 2 4 2" xfId="16398"/>
    <cellStyle name="표준 2 9 3 3 2 5" xfId="3153"/>
    <cellStyle name="표준 2 9 3 3 2 5 2" xfId="14431"/>
    <cellStyle name="표준 2 9 3 3 2 6" xfId="12971"/>
    <cellStyle name="표준 2 9 3 3 3" xfId="9036"/>
    <cellStyle name="표준 2 9 3 3 3 2" xfId="20284"/>
    <cellStyle name="표준 2 9 3 3 4" xfId="6598"/>
    <cellStyle name="표준 2 9 3 3 4 2" xfId="17846"/>
    <cellStyle name="표준 2 9 3 3 5" xfId="4157"/>
    <cellStyle name="표준 2 9 3 3 5 2" xfId="15408"/>
    <cellStyle name="표준 2 9 3 3 6" xfId="2120"/>
    <cellStyle name="표준 2 9 3 3 6 2" xfId="13547"/>
    <cellStyle name="표준 2 9 3 3 7" xfId="12087"/>
    <cellStyle name="표준 2 9 3 4" xfId="809"/>
    <cellStyle name="표준 2 9 3 4 2" xfId="9574"/>
    <cellStyle name="표준 2 9 3 4 2 2" xfId="20822"/>
    <cellStyle name="표준 2 9 3 4 3" xfId="7136"/>
    <cellStyle name="표준 2 9 3 4 3 2" xfId="18384"/>
    <cellStyle name="표준 2 9 3 4 4" xfId="4697"/>
    <cellStyle name="표준 2 9 3 4 4 2" xfId="15946"/>
    <cellStyle name="표준 2 9 3 4 5" xfId="2436"/>
    <cellStyle name="표준 2 9 3 4 5 2" xfId="13831"/>
    <cellStyle name="표준 2 9 3 4 6" xfId="12371"/>
    <cellStyle name="표준 2 9 3 5" xfId="1151"/>
    <cellStyle name="표준 2 9 3 5 2" xfId="8593"/>
    <cellStyle name="표준 2 9 3 5 2 2" xfId="19841"/>
    <cellStyle name="표준 2 9 3 5 3" xfId="6155"/>
    <cellStyle name="표준 2 9 3 5 3 2" xfId="17403"/>
    <cellStyle name="표준 2 9 3 5 4" xfId="3714"/>
    <cellStyle name="표준 2 9 3 5 4 2" xfId="14965"/>
    <cellStyle name="표준 2 9 3 5 5" xfId="2772"/>
    <cellStyle name="표준 2 9 3 5 5 2" xfId="14050"/>
    <cellStyle name="표준 2 9 3 5 6" xfId="12590"/>
    <cellStyle name="표준 2 9 3 6" xfId="8435"/>
    <cellStyle name="표준 2 9 3 6 2" xfId="19683"/>
    <cellStyle name="표준 2 9 3 7" xfId="5997"/>
    <cellStyle name="표준 2 9 3 7 2" xfId="17245"/>
    <cellStyle name="표준 2 9 3 8" xfId="10881"/>
    <cellStyle name="표준 2 9 3 8 2" xfId="22129"/>
    <cellStyle name="표준 2 9 3 9" xfId="3535"/>
    <cellStyle name="표준 2 9 3 9 2" xfId="14807"/>
    <cellStyle name="표준 2 9 4" xfId="242"/>
    <cellStyle name="표준 2 9 4 10" xfId="11881"/>
    <cellStyle name="표준 2 9 4 2" xfId="526"/>
    <cellStyle name="표준 2 9 4 2 2" xfId="1614"/>
    <cellStyle name="표준 2 9 4 2 2 2" xfId="5462"/>
    <cellStyle name="표준 2 9 4 2 2 2 2" xfId="10339"/>
    <cellStyle name="표준 2 9 4 2 2 2 2 2" xfId="21587"/>
    <cellStyle name="표준 2 9 4 2 2 2 3" xfId="7901"/>
    <cellStyle name="표준 2 9 4 2 2 2 3 2" xfId="19149"/>
    <cellStyle name="표준 2 9 4 2 2 2 4" xfId="16711"/>
    <cellStyle name="표준 2 9 4 2 2 3" xfId="9349"/>
    <cellStyle name="표준 2 9 4 2 2 3 2" xfId="20597"/>
    <cellStyle name="표준 2 9 4 2 2 4" xfId="6911"/>
    <cellStyle name="표준 2 9 4 2 2 4 2" xfId="18159"/>
    <cellStyle name="표준 2 9 4 2 2 5" xfId="4470"/>
    <cellStyle name="표준 2 9 4 2 2 5 2" xfId="15721"/>
    <cellStyle name="표준 2 9 4 2 2 6" xfId="3226"/>
    <cellStyle name="표준 2 9 4 2 2 6 2" xfId="14504"/>
    <cellStyle name="표준 2 9 4 2 2 7" xfId="13044"/>
    <cellStyle name="표준 2 9 4 2 3" xfId="5009"/>
    <cellStyle name="표준 2 9 4 2 3 2" xfId="9886"/>
    <cellStyle name="표준 2 9 4 2 3 2 2" xfId="21134"/>
    <cellStyle name="표준 2 9 4 2 3 3" xfId="7448"/>
    <cellStyle name="표준 2 9 4 2 3 3 2" xfId="18696"/>
    <cellStyle name="표준 2 9 4 2 3 4" xfId="16258"/>
    <cellStyle name="표준 2 9 4 2 4" xfId="8896"/>
    <cellStyle name="표준 2 9 4 2 4 2" xfId="20144"/>
    <cellStyle name="표준 2 9 4 2 5" xfId="6458"/>
    <cellStyle name="표준 2 9 4 2 5 2" xfId="17706"/>
    <cellStyle name="표준 2 9 4 2 6" xfId="4017"/>
    <cellStyle name="표준 2 9 4 2 6 2" xfId="15268"/>
    <cellStyle name="표준 2 9 4 2 7" xfId="2198"/>
    <cellStyle name="표준 2 9 4 2 7 2" xfId="13625"/>
    <cellStyle name="표준 2 9 4 2 8" xfId="12165"/>
    <cellStyle name="표준 2 9 4 3" xfId="1229"/>
    <cellStyle name="표준 2 9 4 3 2" xfId="5235"/>
    <cellStyle name="표준 2 9 4 3 2 2" xfId="10112"/>
    <cellStyle name="표준 2 9 4 3 2 2 2" xfId="21360"/>
    <cellStyle name="표준 2 9 4 3 2 3" xfId="7674"/>
    <cellStyle name="표준 2 9 4 3 2 3 2" xfId="18922"/>
    <cellStyle name="표준 2 9 4 3 2 4" xfId="16484"/>
    <cellStyle name="표준 2 9 4 3 3" xfId="9122"/>
    <cellStyle name="표준 2 9 4 3 3 2" xfId="20370"/>
    <cellStyle name="표준 2 9 4 3 4" xfId="6684"/>
    <cellStyle name="표준 2 9 4 3 4 2" xfId="17932"/>
    <cellStyle name="표준 2 9 4 3 5" xfId="4243"/>
    <cellStyle name="표준 2 9 4 3 5 2" xfId="15494"/>
    <cellStyle name="표준 2 9 4 3 6" xfId="2850"/>
    <cellStyle name="표준 2 9 4 3 6 2" xfId="14128"/>
    <cellStyle name="표준 2 9 4 3 7" xfId="12668"/>
    <cellStyle name="표준 2 9 4 4" xfId="4783"/>
    <cellStyle name="표준 2 9 4 4 2" xfId="9660"/>
    <cellStyle name="표준 2 9 4 4 2 2" xfId="20908"/>
    <cellStyle name="표준 2 9 4 4 3" xfId="7222"/>
    <cellStyle name="표준 2 9 4 4 3 2" xfId="18470"/>
    <cellStyle name="표준 2 9 4 4 4" xfId="16032"/>
    <cellStyle name="표준 2 9 4 5" xfId="8670"/>
    <cellStyle name="표준 2 9 4 5 2" xfId="19918"/>
    <cellStyle name="표준 2 9 4 6" xfId="6232"/>
    <cellStyle name="표준 2 9 4 6 2" xfId="17480"/>
    <cellStyle name="표준 2 9 4 7" xfId="10983"/>
    <cellStyle name="표준 2 9 4 7 2" xfId="22230"/>
    <cellStyle name="표준 2 9 4 8" xfId="3791"/>
    <cellStyle name="표준 2 9 4 8 2" xfId="15042"/>
    <cellStyle name="표준 2 9 4 9" xfId="1914"/>
    <cellStyle name="표준 2 9 4 9 2" xfId="13341"/>
    <cellStyle name="표준 2 9 5" xfId="416"/>
    <cellStyle name="표준 2 9 5 2" xfId="1514"/>
    <cellStyle name="표준 2 9 5 2 2" xfId="10433"/>
    <cellStyle name="표준 2 9 5 2 2 2" xfId="21681"/>
    <cellStyle name="표준 2 9 5 2 3" xfId="7995"/>
    <cellStyle name="표준 2 9 5 2 3 2" xfId="19243"/>
    <cellStyle name="표준 2 9 5 2 4" xfId="5556"/>
    <cellStyle name="표준 2 9 5 2 4 2" xfId="16805"/>
    <cellStyle name="표준 2 9 5 2 5" xfId="3126"/>
    <cellStyle name="표준 2 9 5 2 5 2" xfId="14404"/>
    <cellStyle name="표준 2 9 5 2 6" xfId="12944"/>
    <cellStyle name="표준 2 9 5 3" xfId="1119"/>
    <cellStyle name="표준 2 9 5 3 2" xfId="9443"/>
    <cellStyle name="표준 2 9 5 3 2 2" xfId="20691"/>
    <cellStyle name="표준 2 9 5 3 3" xfId="2740"/>
    <cellStyle name="표준 2 9 5 3 3 2" xfId="14018"/>
    <cellStyle name="표준 2 9 5 3 4" xfId="12558"/>
    <cellStyle name="표준 2 9 5 4" xfId="7005"/>
    <cellStyle name="표준 2 9 5 4 2" xfId="18253"/>
    <cellStyle name="표준 2 9 5 5" xfId="4566"/>
    <cellStyle name="표준 2 9 5 5 2" xfId="15815"/>
    <cellStyle name="표준 2 9 5 6" xfId="2088"/>
    <cellStyle name="표준 2 9 5 6 2" xfId="13515"/>
    <cellStyle name="표준 2 9 5 7" xfId="12055"/>
    <cellStyle name="표준 2 9 6" xfId="338"/>
    <cellStyle name="표준 2 9 6 2" xfId="1754"/>
    <cellStyle name="표준 2 9 6 2 2" xfId="10517"/>
    <cellStyle name="표준 2 9 6 2 2 2" xfId="21765"/>
    <cellStyle name="표준 2 9 6 2 3" xfId="3366"/>
    <cellStyle name="표준 2 9 6 2 3 2" xfId="14644"/>
    <cellStyle name="표준 2 9 6 2 4" xfId="13184"/>
    <cellStyle name="표준 2 9 6 3" xfId="1372"/>
    <cellStyle name="표준 2 9 6 3 2" xfId="8079"/>
    <cellStyle name="표준 2 9 6 3 2 2" xfId="19327"/>
    <cellStyle name="표준 2 9 6 3 3" xfId="2993"/>
    <cellStyle name="표준 2 9 6 3 3 2" xfId="14271"/>
    <cellStyle name="표준 2 9 6 3 4" xfId="12811"/>
    <cellStyle name="표준 2 9 6 4" xfId="5640"/>
    <cellStyle name="표준 2 9 6 4 2" xfId="16889"/>
    <cellStyle name="표준 2 9 6 5" xfId="2010"/>
    <cellStyle name="표준 2 9 6 5 2" xfId="13437"/>
    <cellStyle name="표준 2 9 6 6" xfId="11977"/>
    <cellStyle name="표준 2 9 7" xfId="637"/>
    <cellStyle name="표준 2 9 7 2" xfId="1462"/>
    <cellStyle name="표준 2 9 7 2 2" xfId="10532"/>
    <cellStyle name="표준 2 9 7 2 2 2" xfId="21780"/>
    <cellStyle name="표준 2 9 7 2 3" xfId="3076"/>
    <cellStyle name="표준 2 9 7 2 3 2" xfId="14354"/>
    <cellStyle name="표준 2 9 7 2 4" xfId="12894"/>
    <cellStyle name="표준 2 9 7 3" xfId="8094"/>
    <cellStyle name="표준 2 9 7 3 2" xfId="19342"/>
    <cellStyle name="표준 2 9 7 4" xfId="5655"/>
    <cellStyle name="표준 2 9 7 4 2" xfId="16904"/>
    <cellStyle name="표준 2 9 7 5" xfId="2308"/>
    <cellStyle name="표준 2 9 7 5 2" xfId="13723"/>
    <cellStyle name="표준 2 9 7 6" xfId="12263"/>
    <cellStyle name="표준 2 9 8" xfId="1041"/>
    <cellStyle name="표준 2 9 8 2" xfId="10623"/>
    <cellStyle name="표준 2 9 8 2 2" xfId="21871"/>
    <cellStyle name="표준 2 9 8 3" xfId="8185"/>
    <cellStyle name="표준 2 9 8 3 2" xfId="19433"/>
    <cellStyle name="표준 2 9 8 4" xfId="5746"/>
    <cellStyle name="표준 2 9 8 4 2" xfId="16995"/>
    <cellStyle name="표준 2 9 8 5" xfId="2662"/>
    <cellStyle name="표준 2 9 8 5 2" xfId="13940"/>
    <cellStyle name="표준 2 9 8 6" xfId="12480"/>
    <cellStyle name="표준 2 9 9" xfId="978"/>
    <cellStyle name="표준 2 9 9 2" xfId="5829"/>
    <cellStyle name="표준 2 9 9 2 2" xfId="10706"/>
    <cellStyle name="표준 2 9 9 2 2 2" xfId="21954"/>
    <cellStyle name="표준 2 9 9 2 3" xfId="8268"/>
    <cellStyle name="표준 2 9 9 2 3 2" xfId="19516"/>
    <cellStyle name="표준 2 9 9 2 4" xfId="17078"/>
    <cellStyle name="표준 2 9 9 3" xfId="3672"/>
    <cellStyle name="표준 2 9 9 4" xfId="2599"/>
    <cellStyle name="표준 2 9 9 4 2" xfId="13877"/>
    <cellStyle name="표준 2 9 9 5" xfId="12417"/>
    <cellStyle name="표준 3" xfId="161"/>
    <cellStyle name="표준 3 10" xfId="4500"/>
    <cellStyle name="표준 3 10 2" xfId="5490"/>
    <cellStyle name="표준 3 10 2 2" xfId="10367"/>
    <cellStyle name="표준 3 10 2 2 2" xfId="21615"/>
    <cellStyle name="표준 3 10 2 3" xfId="7929"/>
    <cellStyle name="표준 3 10 2 3 2" xfId="19177"/>
    <cellStyle name="표준 3 10 2 4" xfId="16739"/>
    <cellStyle name="표준 3 10 3" xfId="9377"/>
    <cellStyle name="표준 3 10 3 2" xfId="20625"/>
    <cellStyle name="표준 3 10 4" xfId="6939"/>
    <cellStyle name="표준 3 10 4 2" xfId="18187"/>
    <cellStyle name="표준 3 10 5" xfId="15749"/>
    <cellStyle name="표준 3 11" xfId="4587"/>
    <cellStyle name="표준 3 11 2" xfId="9464"/>
    <cellStyle name="표준 3 11 2 2" xfId="20712"/>
    <cellStyle name="표준 3 11 3" xfId="7026"/>
    <cellStyle name="표준 3 11 3 2" xfId="18274"/>
    <cellStyle name="표준 3 11 4" xfId="15836"/>
    <cellStyle name="표준 3 12" xfId="5574"/>
    <cellStyle name="표준 3 12 2" xfId="10451"/>
    <cellStyle name="표준 3 12 2 2" xfId="21699"/>
    <cellStyle name="표준 3 12 3" xfId="8013"/>
    <cellStyle name="표준 3 12 3 2" xfId="19261"/>
    <cellStyle name="표준 3 12 4" xfId="16823"/>
    <cellStyle name="표준 3 13" xfId="5680"/>
    <cellStyle name="표준 3 13 2" xfId="10557"/>
    <cellStyle name="표준 3 13 2 2" xfId="21805"/>
    <cellStyle name="표준 3 13 3" xfId="8119"/>
    <cellStyle name="표준 3 13 3 2" xfId="19367"/>
    <cellStyle name="표준 3 13 4" xfId="16929"/>
    <cellStyle name="표준 3 14" xfId="5763"/>
    <cellStyle name="표준 3 14 2" xfId="10640"/>
    <cellStyle name="표준 3 14 2 2" xfId="21888"/>
    <cellStyle name="표준 3 14 3" xfId="8202"/>
    <cellStyle name="표준 3 14 3 2" xfId="19450"/>
    <cellStyle name="표준 3 14 4" xfId="17012"/>
    <cellStyle name="표준 3 15" xfId="8286"/>
    <cellStyle name="표준 3 15 2" xfId="19534"/>
    <cellStyle name="표준 3 16" xfId="5848"/>
    <cellStyle name="표준 3 16 2" xfId="17096"/>
    <cellStyle name="표준 3 17" xfId="10732"/>
    <cellStyle name="표준 3 17 2" xfId="21980"/>
    <cellStyle name="표준 3 18" xfId="3380"/>
    <cellStyle name="표준 3 18 2" xfId="14658"/>
    <cellStyle name="표준 3 2" xfId="201"/>
    <cellStyle name="표준 3 2 10" xfId="5748"/>
    <cellStyle name="표준 3 2 10 2" xfId="10625"/>
    <cellStyle name="표준 3 2 10 2 2" xfId="21873"/>
    <cellStyle name="표준 3 2 10 3" xfId="8187"/>
    <cellStyle name="표준 3 2 10 3 2" xfId="19435"/>
    <cellStyle name="표준 3 2 10 4" xfId="16997"/>
    <cellStyle name="표준 3 2 11" xfId="5831"/>
    <cellStyle name="표준 3 2 11 2" xfId="10708"/>
    <cellStyle name="표준 3 2 11 2 2" xfId="21956"/>
    <cellStyle name="표준 3 2 11 3" xfId="8270"/>
    <cellStyle name="표준 3 2 11 3 2" xfId="19518"/>
    <cellStyle name="표준 3 2 11 4" xfId="17080"/>
    <cellStyle name="표준 3 2 12" xfId="3634"/>
    <cellStyle name="표준 3 2 12 2" xfId="8533"/>
    <cellStyle name="표준 3 2 12 2 2" xfId="19781"/>
    <cellStyle name="표준 3 2 12 3" xfId="6095"/>
    <cellStyle name="표준 3 2 12 3 2" xfId="17343"/>
    <cellStyle name="표준 3 2 12 4" xfId="14905"/>
    <cellStyle name="표준 3 2 13" xfId="8354"/>
    <cellStyle name="표준 3 2 13 2" xfId="19602"/>
    <cellStyle name="표준 3 2 14" xfId="5916"/>
    <cellStyle name="표준 3 2 14 2" xfId="17164"/>
    <cellStyle name="표준 3 2 15" xfId="10800"/>
    <cellStyle name="표준 3 2 15 2" xfId="22048"/>
    <cellStyle name="표준 3 2 16" xfId="3448"/>
    <cellStyle name="표준 3 2 16 2" xfId="14726"/>
    <cellStyle name="표준 3 2 17" xfId="1874"/>
    <cellStyle name="표준 3 2 17 2" xfId="13301"/>
    <cellStyle name="표준 3 2 18" xfId="11841"/>
    <cellStyle name="표준 3 2 2" xfId="312"/>
    <cellStyle name="표준 3 2 2 10" xfId="3537"/>
    <cellStyle name="표준 3 2 2 10 2" xfId="14809"/>
    <cellStyle name="표준 3 2 2 11" xfId="1984"/>
    <cellStyle name="표준 3 2 2 11 2" xfId="13411"/>
    <cellStyle name="표준 3 2 2 12" xfId="11951"/>
    <cellStyle name="표준 3 2 2 2" xfId="596"/>
    <cellStyle name="표준 3 2 2 2 10" xfId="12235"/>
    <cellStyle name="표준 3 2 2 2 2" xfId="1684"/>
    <cellStyle name="표준 3 2 2 2 2 2" xfId="4485"/>
    <cellStyle name="표준 3 2 2 2 2 2 2" xfId="5477"/>
    <cellStyle name="표준 3 2 2 2 2 2 2 2" xfId="10354"/>
    <cellStyle name="표준 3 2 2 2 2 2 2 2 2" xfId="21602"/>
    <cellStyle name="표준 3 2 2 2 2 2 2 3" xfId="7916"/>
    <cellStyle name="표준 3 2 2 2 2 2 2 3 2" xfId="19164"/>
    <cellStyle name="표준 3 2 2 2 2 2 2 4" xfId="16726"/>
    <cellStyle name="표준 3 2 2 2 2 2 3" xfId="9364"/>
    <cellStyle name="표준 3 2 2 2 2 2 3 2" xfId="20612"/>
    <cellStyle name="표준 3 2 2 2 2 2 4" xfId="6926"/>
    <cellStyle name="표준 3 2 2 2 2 2 4 2" xfId="18174"/>
    <cellStyle name="표준 3 2 2 2 2 2 5" xfId="15736"/>
    <cellStyle name="표준 3 2 2 2 2 3" xfId="5024"/>
    <cellStyle name="표준 3 2 2 2 2 3 2" xfId="9901"/>
    <cellStyle name="표준 3 2 2 2 2 3 2 2" xfId="21149"/>
    <cellStyle name="표준 3 2 2 2 2 3 3" xfId="7463"/>
    <cellStyle name="표준 3 2 2 2 2 3 3 2" xfId="18711"/>
    <cellStyle name="표준 3 2 2 2 2 3 4" xfId="16273"/>
    <cellStyle name="표준 3 2 2 2 2 4" xfId="8911"/>
    <cellStyle name="표준 3 2 2 2 2 4 2" xfId="20159"/>
    <cellStyle name="표준 3 2 2 2 2 5" xfId="6473"/>
    <cellStyle name="표준 3 2 2 2 2 5 2" xfId="17721"/>
    <cellStyle name="표준 3 2 2 2 2 6" xfId="4032"/>
    <cellStyle name="표준 3 2 2 2 2 6 2" xfId="15283"/>
    <cellStyle name="표준 3 2 2 2 2 7" xfId="3296"/>
    <cellStyle name="표준 3 2 2 2 2 7 2" xfId="14574"/>
    <cellStyle name="표준 3 2 2 2 2 8" xfId="13114"/>
    <cellStyle name="표준 3 2 2 2 3" xfId="4258"/>
    <cellStyle name="표준 3 2 2 2 3 2" xfId="5250"/>
    <cellStyle name="표준 3 2 2 2 3 2 2" xfId="10127"/>
    <cellStyle name="표준 3 2 2 2 3 2 2 2" xfId="21375"/>
    <cellStyle name="표준 3 2 2 2 3 2 3" xfId="7689"/>
    <cellStyle name="표준 3 2 2 2 3 2 3 2" xfId="18937"/>
    <cellStyle name="표준 3 2 2 2 3 2 4" xfId="16499"/>
    <cellStyle name="표준 3 2 2 2 3 3" xfId="9137"/>
    <cellStyle name="표준 3 2 2 2 3 3 2" xfId="20385"/>
    <cellStyle name="표준 3 2 2 2 3 4" xfId="6699"/>
    <cellStyle name="표준 3 2 2 2 3 4 2" xfId="17947"/>
    <cellStyle name="표준 3 2 2 2 3 5" xfId="15509"/>
    <cellStyle name="표준 3 2 2 2 4" xfId="4798"/>
    <cellStyle name="표준 3 2 2 2 4 2" xfId="9675"/>
    <cellStyle name="표준 3 2 2 2 4 2 2" xfId="20923"/>
    <cellStyle name="표준 3 2 2 2 4 3" xfId="7237"/>
    <cellStyle name="표준 3 2 2 2 4 3 2" xfId="18485"/>
    <cellStyle name="표준 3 2 2 2 4 4" xfId="16047"/>
    <cellStyle name="표준 3 2 2 2 5" xfId="8685"/>
    <cellStyle name="표준 3 2 2 2 5 2" xfId="19933"/>
    <cellStyle name="표준 3 2 2 2 6" xfId="6247"/>
    <cellStyle name="표준 3 2 2 2 6 2" xfId="17495"/>
    <cellStyle name="표준 3 2 2 2 7" xfId="11068"/>
    <cellStyle name="표준 3 2 2 2 7 2" xfId="22315"/>
    <cellStyle name="표준 3 2 2 2 8" xfId="3806"/>
    <cellStyle name="표준 3 2 2 2 8 2" xfId="15057"/>
    <cellStyle name="표준 3 2 2 2 9" xfId="2268"/>
    <cellStyle name="표준 3 2 2 2 9 2" xfId="13695"/>
    <cellStyle name="표준 3 2 2 3" xfId="1299"/>
    <cellStyle name="표준 3 2 2 3 2" xfId="4306"/>
    <cellStyle name="표준 3 2 2 3 2 2" xfId="5298"/>
    <cellStyle name="표준 3 2 2 3 2 2 2" xfId="10175"/>
    <cellStyle name="표준 3 2 2 3 2 2 2 2" xfId="21423"/>
    <cellStyle name="표준 3 2 2 3 2 2 3" xfId="7737"/>
    <cellStyle name="표준 3 2 2 3 2 2 3 2" xfId="18985"/>
    <cellStyle name="표준 3 2 2 3 2 2 4" xfId="16547"/>
    <cellStyle name="표준 3 2 2 3 2 3" xfId="9185"/>
    <cellStyle name="표준 3 2 2 3 2 3 2" xfId="20433"/>
    <cellStyle name="표준 3 2 2 3 2 4" xfId="6747"/>
    <cellStyle name="표준 3 2 2 3 2 4 2" xfId="17995"/>
    <cellStyle name="표준 3 2 2 3 2 5" xfId="15557"/>
    <cellStyle name="표준 3 2 2 3 3" xfId="4845"/>
    <cellStyle name="표준 3 2 2 3 3 2" xfId="9722"/>
    <cellStyle name="표준 3 2 2 3 3 2 2" xfId="20970"/>
    <cellStyle name="표준 3 2 2 3 3 3" xfId="7284"/>
    <cellStyle name="표준 3 2 2 3 3 3 2" xfId="18532"/>
    <cellStyle name="표준 3 2 2 3 3 4" xfId="16094"/>
    <cellStyle name="표준 3 2 2 3 4" xfId="8732"/>
    <cellStyle name="표준 3 2 2 3 4 2" xfId="19980"/>
    <cellStyle name="표준 3 2 2 3 5" xfId="6294"/>
    <cellStyle name="표준 3 2 2 3 5 2" xfId="17542"/>
    <cellStyle name="표준 3 2 2 3 6" xfId="3853"/>
    <cellStyle name="표준 3 2 2 3 6 2" xfId="15104"/>
    <cellStyle name="표준 3 2 2 3 7" xfId="2920"/>
    <cellStyle name="표준 3 2 2 3 7 2" xfId="14198"/>
    <cellStyle name="표준 3 2 2 3 8" xfId="12738"/>
    <cellStyle name="표준 3 2 2 4" xfId="4079"/>
    <cellStyle name="표준 3 2 2 4 2" xfId="5071"/>
    <cellStyle name="표준 3 2 2 4 2 2" xfId="9948"/>
    <cellStyle name="표준 3 2 2 4 2 2 2" xfId="21196"/>
    <cellStyle name="표준 3 2 2 4 2 3" xfId="7510"/>
    <cellStyle name="표준 3 2 2 4 2 3 2" xfId="18758"/>
    <cellStyle name="표준 3 2 2 4 2 4" xfId="16320"/>
    <cellStyle name="표준 3 2 2 4 3" xfId="8958"/>
    <cellStyle name="표준 3 2 2 4 3 2" xfId="20206"/>
    <cellStyle name="표준 3 2 2 4 4" xfId="6520"/>
    <cellStyle name="표준 3 2 2 4 4 2" xfId="17768"/>
    <cellStyle name="표준 3 2 2 4 5" xfId="15330"/>
    <cellStyle name="표준 3 2 2 5" xfId="4619"/>
    <cellStyle name="표준 3 2 2 5 2" xfId="9496"/>
    <cellStyle name="표준 3 2 2 5 2 2" xfId="20744"/>
    <cellStyle name="표준 3 2 2 5 3" xfId="7058"/>
    <cellStyle name="표준 3 2 2 5 3 2" xfId="18306"/>
    <cellStyle name="표준 3 2 2 5 4" xfId="15868"/>
    <cellStyle name="표준 3 2 2 6" xfId="3654"/>
    <cellStyle name="표준 3 2 2 6 2" xfId="8551"/>
    <cellStyle name="표준 3 2 2 6 2 2" xfId="19799"/>
    <cellStyle name="표준 3 2 2 6 3" xfId="6113"/>
    <cellStyle name="표준 3 2 2 6 3 2" xfId="17361"/>
    <cellStyle name="표준 3 2 2 6 4" xfId="14923"/>
    <cellStyle name="표준 3 2 2 7" xfId="8437"/>
    <cellStyle name="표준 3 2 2 7 2" xfId="19685"/>
    <cellStyle name="표준 3 2 2 8" xfId="5999"/>
    <cellStyle name="표준 3 2 2 8 2" xfId="17247"/>
    <cellStyle name="표준 3 2 2 9" xfId="10883"/>
    <cellStyle name="표준 3 2 2 9 2" xfId="22131"/>
    <cellStyle name="표준 3 2 3" xfId="486"/>
    <cellStyle name="표준 3 2 3 10" xfId="12125"/>
    <cellStyle name="표준 3 2 3 2" xfId="1579"/>
    <cellStyle name="표준 3 2 3 2 2" xfId="4386"/>
    <cellStyle name="표준 3 2 3 2 2 2" xfId="5378"/>
    <cellStyle name="표준 3 2 3 2 2 2 2" xfId="10255"/>
    <cellStyle name="표준 3 2 3 2 2 2 2 2" xfId="21503"/>
    <cellStyle name="표준 3 2 3 2 2 2 3" xfId="7817"/>
    <cellStyle name="표준 3 2 3 2 2 2 3 2" xfId="19065"/>
    <cellStyle name="표준 3 2 3 2 2 2 4" xfId="16627"/>
    <cellStyle name="표준 3 2 3 2 2 3" xfId="9265"/>
    <cellStyle name="표준 3 2 3 2 2 3 2" xfId="20513"/>
    <cellStyle name="표준 3 2 3 2 2 4" xfId="6827"/>
    <cellStyle name="표준 3 2 3 2 2 4 2" xfId="18075"/>
    <cellStyle name="표준 3 2 3 2 2 5" xfId="15637"/>
    <cellStyle name="표준 3 2 3 2 3" xfId="4925"/>
    <cellStyle name="표준 3 2 3 2 3 2" xfId="9802"/>
    <cellStyle name="표준 3 2 3 2 3 2 2" xfId="21050"/>
    <cellStyle name="표준 3 2 3 2 3 3" xfId="7364"/>
    <cellStyle name="표준 3 2 3 2 3 3 2" xfId="18612"/>
    <cellStyle name="표준 3 2 3 2 3 4" xfId="16174"/>
    <cellStyle name="표준 3 2 3 2 4" xfId="8812"/>
    <cellStyle name="표준 3 2 3 2 4 2" xfId="20060"/>
    <cellStyle name="표준 3 2 3 2 5" xfId="6374"/>
    <cellStyle name="표준 3 2 3 2 5 2" xfId="17622"/>
    <cellStyle name="표준 3 2 3 2 6" xfId="3933"/>
    <cellStyle name="표준 3 2 3 2 6 2" xfId="15184"/>
    <cellStyle name="표준 3 2 3 2 7" xfId="3191"/>
    <cellStyle name="표준 3 2 3 2 7 2" xfId="14469"/>
    <cellStyle name="표준 3 2 3 2 8" xfId="13009"/>
    <cellStyle name="표준 3 2 3 3" xfId="1189"/>
    <cellStyle name="표준 3 2 3 3 2" xfId="5151"/>
    <cellStyle name="표준 3 2 3 3 2 2" xfId="10028"/>
    <cellStyle name="표준 3 2 3 3 2 2 2" xfId="21276"/>
    <cellStyle name="표준 3 2 3 3 2 3" xfId="7590"/>
    <cellStyle name="표준 3 2 3 3 2 3 2" xfId="18838"/>
    <cellStyle name="표준 3 2 3 3 2 4" xfId="16400"/>
    <cellStyle name="표준 3 2 3 3 3" xfId="9038"/>
    <cellStyle name="표준 3 2 3 3 3 2" xfId="20286"/>
    <cellStyle name="표준 3 2 3 3 4" xfId="6600"/>
    <cellStyle name="표준 3 2 3 3 4 2" xfId="17848"/>
    <cellStyle name="표준 3 2 3 3 5" xfId="4159"/>
    <cellStyle name="표준 3 2 3 3 5 2" xfId="15410"/>
    <cellStyle name="표준 3 2 3 3 6" xfId="2810"/>
    <cellStyle name="표준 3 2 3 3 6 2" xfId="14088"/>
    <cellStyle name="표준 3 2 3 3 7" xfId="12628"/>
    <cellStyle name="표준 3 2 3 4" xfId="4699"/>
    <cellStyle name="표준 3 2 3 4 2" xfId="9576"/>
    <cellStyle name="표준 3 2 3 4 2 2" xfId="20824"/>
    <cellStyle name="표준 3 2 3 4 3" xfId="7138"/>
    <cellStyle name="표준 3 2 3 4 3 2" xfId="18386"/>
    <cellStyle name="표준 3 2 3 4 4" xfId="15948"/>
    <cellStyle name="표준 3 2 3 5" xfId="8594"/>
    <cellStyle name="표준 3 2 3 5 2" xfId="19842"/>
    <cellStyle name="표준 3 2 3 6" xfId="6156"/>
    <cellStyle name="표준 3 2 3 6 2" xfId="17404"/>
    <cellStyle name="표준 3 2 3 7" xfId="10985"/>
    <cellStyle name="표준 3 2 3 7 2" xfId="22232"/>
    <cellStyle name="표준 3 2 3 8" xfId="3715"/>
    <cellStyle name="표준 3 2 3 8 2" xfId="14966"/>
    <cellStyle name="표준 3 2 3 9" xfId="2158"/>
    <cellStyle name="표준 3 2 3 9 2" xfId="13585"/>
    <cellStyle name="표준 3 2 4" xfId="376"/>
    <cellStyle name="표준 3 2 4 2" xfId="1756"/>
    <cellStyle name="표준 3 2 4 2 2" xfId="4472"/>
    <cellStyle name="표준 3 2 4 2 2 2" xfId="5464"/>
    <cellStyle name="표준 3 2 4 2 2 2 2" xfId="10341"/>
    <cellStyle name="표준 3 2 4 2 2 2 2 2" xfId="21589"/>
    <cellStyle name="표준 3 2 4 2 2 2 3" xfId="7903"/>
    <cellStyle name="표준 3 2 4 2 2 2 3 2" xfId="19151"/>
    <cellStyle name="표준 3 2 4 2 2 2 4" xfId="16713"/>
    <cellStyle name="표준 3 2 4 2 2 3" xfId="9351"/>
    <cellStyle name="표준 3 2 4 2 2 3 2" xfId="20599"/>
    <cellStyle name="표준 3 2 4 2 2 4" xfId="6913"/>
    <cellStyle name="표준 3 2 4 2 2 4 2" xfId="18161"/>
    <cellStyle name="표준 3 2 4 2 2 5" xfId="15723"/>
    <cellStyle name="표준 3 2 4 2 3" xfId="5011"/>
    <cellStyle name="표준 3 2 4 2 3 2" xfId="9888"/>
    <cellStyle name="표준 3 2 4 2 3 2 2" xfId="21136"/>
    <cellStyle name="표준 3 2 4 2 3 3" xfId="7450"/>
    <cellStyle name="표준 3 2 4 2 3 3 2" xfId="18698"/>
    <cellStyle name="표준 3 2 4 2 3 4" xfId="16260"/>
    <cellStyle name="표준 3 2 4 2 4" xfId="8898"/>
    <cellStyle name="표준 3 2 4 2 4 2" xfId="20146"/>
    <cellStyle name="표준 3 2 4 2 5" xfId="6460"/>
    <cellStyle name="표준 3 2 4 2 5 2" xfId="17708"/>
    <cellStyle name="표준 3 2 4 2 6" xfId="4019"/>
    <cellStyle name="표준 3 2 4 2 6 2" xfId="15270"/>
    <cellStyle name="표준 3 2 4 2 7" xfId="3368"/>
    <cellStyle name="표준 3 2 4 2 7 2" xfId="14646"/>
    <cellStyle name="표준 3 2 4 2 8" xfId="13186"/>
    <cellStyle name="표준 3 2 4 3" xfId="1374"/>
    <cellStyle name="표준 3 2 4 3 2" xfId="5237"/>
    <cellStyle name="표준 3 2 4 3 2 2" xfId="10114"/>
    <cellStyle name="표준 3 2 4 3 2 2 2" xfId="21362"/>
    <cellStyle name="표준 3 2 4 3 2 3" xfId="7676"/>
    <cellStyle name="표준 3 2 4 3 2 3 2" xfId="18924"/>
    <cellStyle name="표준 3 2 4 3 2 4" xfId="16486"/>
    <cellStyle name="표준 3 2 4 3 3" xfId="9124"/>
    <cellStyle name="표준 3 2 4 3 3 2" xfId="20372"/>
    <cellStyle name="표준 3 2 4 3 4" xfId="6686"/>
    <cellStyle name="표준 3 2 4 3 4 2" xfId="17934"/>
    <cellStyle name="표준 3 2 4 3 5" xfId="4245"/>
    <cellStyle name="표준 3 2 4 3 5 2" xfId="15496"/>
    <cellStyle name="표준 3 2 4 3 6" xfId="2995"/>
    <cellStyle name="표준 3 2 4 3 6 2" xfId="14273"/>
    <cellStyle name="표준 3 2 4 3 7" xfId="12813"/>
    <cellStyle name="표준 3 2 4 4" xfId="4785"/>
    <cellStyle name="표준 3 2 4 4 2" xfId="9662"/>
    <cellStyle name="표준 3 2 4 4 2 2" xfId="20910"/>
    <cellStyle name="표준 3 2 4 4 3" xfId="7224"/>
    <cellStyle name="표준 3 2 4 4 3 2" xfId="18472"/>
    <cellStyle name="표준 3 2 4 4 4" xfId="16034"/>
    <cellStyle name="표준 3 2 4 5" xfId="8672"/>
    <cellStyle name="표준 3 2 4 5 2" xfId="19920"/>
    <cellStyle name="표준 3 2 4 6" xfId="6234"/>
    <cellStyle name="표준 3 2 4 6 2" xfId="17482"/>
    <cellStyle name="표준 3 2 4 7" xfId="3793"/>
    <cellStyle name="표준 3 2 4 7 2" xfId="15044"/>
    <cellStyle name="표준 3 2 4 8" xfId="2048"/>
    <cellStyle name="표준 3 2 4 8 2" xfId="13475"/>
    <cellStyle name="표준 3 2 4 9" xfId="12015"/>
    <cellStyle name="표준 3 2 5" xfId="811"/>
    <cellStyle name="표준 3 2 5 2" xfId="1464"/>
    <cellStyle name="표준 3 2 5 2 2" xfId="5276"/>
    <cellStyle name="표준 3 2 5 2 2 2" xfId="10153"/>
    <cellStyle name="표준 3 2 5 2 2 2 2" xfId="21401"/>
    <cellStyle name="표준 3 2 5 2 2 3" xfId="7715"/>
    <cellStyle name="표준 3 2 5 2 2 3 2" xfId="18963"/>
    <cellStyle name="표준 3 2 5 2 2 4" xfId="16525"/>
    <cellStyle name="표준 3 2 5 2 3" xfId="9163"/>
    <cellStyle name="표준 3 2 5 2 3 2" xfId="20411"/>
    <cellStyle name="표준 3 2 5 2 4" xfId="6725"/>
    <cellStyle name="표준 3 2 5 2 4 2" xfId="17973"/>
    <cellStyle name="표준 3 2 5 2 5" xfId="4284"/>
    <cellStyle name="표준 3 2 5 2 5 2" xfId="15535"/>
    <cellStyle name="표준 3 2 5 2 6" xfId="3078"/>
    <cellStyle name="표준 3 2 5 2 6 2" xfId="14356"/>
    <cellStyle name="표준 3 2 5 2 7" xfId="12896"/>
    <cellStyle name="표준 3 2 5 3" xfId="4823"/>
    <cellStyle name="표준 3 2 5 3 2" xfId="9700"/>
    <cellStyle name="표준 3 2 5 3 2 2" xfId="20948"/>
    <cellStyle name="표준 3 2 5 3 3" xfId="7262"/>
    <cellStyle name="표준 3 2 5 3 3 2" xfId="18510"/>
    <cellStyle name="표준 3 2 5 3 4" xfId="16072"/>
    <cellStyle name="표준 3 2 5 4" xfId="8710"/>
    <cellStyle name="표준 3 2 5 4 2" xfId="19958"/>
    <cellStyle name="표준 3 2 5 5" xfId="6272"/>
    <cellStyle name="표준 3 2 5 5 2" xfId="17520"/>
    <cellStyle name="표준 3 2 5 6" xfId="3831"/>
    <cellStyle name="표준 3 2 5 6 2" xfId="15082"/>
    <cellStyle name="표준 3 2 5 7" xfId="2438"/>
    <cellStyle name="표준 3 2 5 7 2" xfId="13833"/>
    <cellStyle name="표준 3 2 5 8" xfId="12373"/>
    <cellStyle name="표준 3 2 6" xfId="1079"/>
    <cellStyle name="표준 3 2 6 2" xfId="5049"/>
    <cellStyle name="표준 3 2 6 2 2" xfId="9926"/>
    <cellStyle name="표준 3 2 6 2 2 2" xfId="21174"/>
    <cellStyle name="표준 3 2 6 2 3" xfId="7488"/>
    <cellStyle name="표준 3 2 6 2 3 2" xfId="18736"/>
    <cellStyle name="표준 3 2 6 2 4" xfId="16298"/>
    <cellStyle name="표준 3 2 6 3" xfId="8936"/>
    <cellStyle name="표준 3 2 6 3 2" xfId="20184"/>
    <cellStyle name="표준 3 2 6 4" xfId="6498"/>
    <cellStyle name="표준 3 2 6 4 2" xfId="17746"/>
    <cellStyle name="표준 3 2 6 5" xfId="4057"/>
    <cellStyle name="표준 3 2 6 5 2" xfId="15308"/>
    <cellStyle name="표준 3 2 6 6" xfId="2700"/>
    <cellStyle name="표준 3 2 6 6 2" xfId="13978"/>
    <cellStyle name="표준 3 2 6 7" xfId="12518"/>
    <cellStyle name="표준 3 2 7" xfId="1015"/>
    <cellStyle name="표준 3 2 7 2" xfId="5558"/>
    <cellStyle name="표준 3 2 7 2 2" xfId="10435"/>
    <cellStyle name="표준 3 2 7 2 2 2" xfId="21683"/>
    <cellStyle name="표준 3 2 7 2 3" xfId="7997"/>
    <cellStyle name="표준 3 2 7 2 3 2" xfId="19245"/>
    <cellStyle name="표준 3 2 7 2 4" xfId="16807"/>
    <cellStyle name="표준 3 2 7 3" xfId="9445"/>
    <cellStyle name="표준 3 2 7 3 2" xfId="20693"/>
    <cellStyle name="표준 3 2 7 4" xfId="7007"/>
    <cellStyle name="표준 3 2 7 4 2" xfId="18255"/>
    <cellStyle name="표준 3 2 7 5" xfId="4568"/>
    <cellStyle name="표준 3 2 7 5 2" xfId="15817"/>
    <cellStyle name="표준 3 2 7 6" xfId="2636"/>
    <cellStyle name="표준 3 2 7 6 2" xfId="13914"/>
    <cellStyle name="표준 3 2 7 7" xfId="12454"/>
    <cellStyle name="표준 3 2 8" xfId="4597"/>
    <cellStyle name="표준 3 2 8 2" xfId="9474"/>
    <cellStyle name="표준 3 2 8 2 2" xfId="20722"/>
    <cellStyle name="표준 3 2 8 3" xfId="7036"/>
    <cellStyle name="표준 3 2 8 3 2" xfId="18284"/>
    <cellStyle name="표준 3 2 8 4" xfId="15846"/>
    <cellStyle name="표준 3 2 9" xfId="5642"/>
    <cellStyle name="표준 3 2 9 2" xfId="10519"/>
    <cellStyle name="표준 3 2 9 2 2" xfId="21767"/>
    <cellStyle name="표준 3 2 9 3" xfId="8081"/>
    <cellStyle name="표준 3 2 9 3 2" xfId="19329"/>
    <cellStyle name="표준 3 2 9 4" xfId="16891"/>
    <cellStyle name="표준 3 3" xfId="739"/>
    <cellStyle name="표준 3 3 2" xfId="3656"/>
    <cellStyle name="표준 3 3 2 2" xfId="3732"/>
    <cellStyle name="표준 3 3 2 2 2" xfId="3958"/>
    <cellStyle name="표준 3 3 2 2 2 2" xfId="4411"/>
    <cellStyle name="표준 3 3 2 2 2 2 2" xfId="5403"/>
    <cellStyle name="표준 3 3 2 2 2 2 2 2" xfId="10280"/>
    <cellStyle name="표준 3 3 2 2 2 2 2 2 2" xfId="21528"/>
    <cellStyle name="표준 3 3 2 2 2 2 2 3" xfId="7842"/>
    <cellStyle name="표준 3 3 2 2 2 2 2 3 2" xfId="19090"/>
    <cellStyle name="표준 3 3 2 2 2 2 2 4" xfId="16652"/>
    <cellStyle name="표준 3 3 2 2 2 2 3" xfId="9290"/>
    <cellStyle name="표준 3 3 2 2 2 2 3 2" xfId="20538"/>
    <cellStyle name="표준 3 3 2 2 2 2 4" xfId="6852"/>
    <cellStyle name="표준 3 3 2 2 2 2 4 2" xfId="18100"/>
    <cellStyle name="표준 3 3 2 2 2 2 5" xfId="15662"/>
    <cellStyle name="표준 3 3 2 2 2 3" xfId="4950"/>
    <cellStyle name="표준 3 3 2 2 2 3 2" xfId="9827"/>
    <cellStyle name="표준 3 3 2 2 2 3 2 2" xfId="21075"/>
    <cellStyle name="표준 3 3 2 2 2 3 3" xfId="7389"/>
    <cellStyle name="표준 3 3 2 2 2 3 3 2" xfId="18637"/>
    <cellStyle name="표준 3 3 2 2 2 3 4" xfId="16199"/>
    <cellStyle name="표준 3 3 2 2 2 4" xfId="8837"/>
    <cellStyle name="표준 3 3 2 2 2 4 2" xfId="20085"/>
    <cellStyle name="표준 3 3 2 2 2 5" xfId="6399"/>
    <cellStyle name="표준 3 3 2 2 2 5 2" xfId="17647"/>
    <cellStyle name="표준 3 3 2 2 2 6" xfId="15209"/>
    <cellStyle name="표준 3 3 2 2 3" xfId="4184"/>
    <cellStyle name="표준 3 3 2 2 3 2" xfId="5176"/>
    <cellStyle name="표준 3 3 2 2 3 2 2" xfId="10053"/>
    <cellStyle name="표준 3 3 2 2 3 2 2 2" xfId="21301"/>
    <cellStyle name="표준 3 3 2 2 3 2 3" xfId="7615"/>
    <cellStyle name="표준 3 3 2 2 3 2 3 2" xfId="18863"/>
    <cellStyle name="표준 3 3 2 2 3 2 4" xfId="16425"/>
    <cellStyle name="표준 3 3 2 2 3 3" xfId="9063"/>
    <cellStyle name="표준 3 3 2 2 3 3 2" xfId="20311"/>
    <cellStyle name="표준 3 3 2 2 3 4" xfId="6625"/>
    <cellStyle name="표준 3 3 2 2 3 4 2" xfId="17873"/>
    <cellStyle name="표준 3 3 2 2 3 5" xfId="15435"/>
    <cellStyle name="표준 3 3 2 2 4" xfId="4724"/>
    <cellStyle name="표준 3 3 2 2 4 2" xfId="9601"/>
    <cellStyle name="표준 3 3 2 2 4 2 2" xfId="20849"/>
    <cellStyle name="표준 3 3 2 2 4 3" xfId="7163"/>
    <cellStyle name="표준 3 3 2 2 4 3 2" xfId="18411"/>
    <cellStyle name="표준 3 3 2 2 4 4" xfId="15973"/>
    <cellStyle name="표준 3 3 2 2 5" xfId="8611"/>
    <cellStyle name="표준 3 3 2 2 5 2" xfId="19859"/>
    <cellStyle name="표준 3 3 2 2 6" xfId="6173"/>
    <cellStyle name="표준 3 3 2 2 6 2" xfId="17421"/>
    <cellStyle name="표준 3 3 2 2 7" xfId="14983"/>
    <cellStyle name="표준 3 3 2 3" xfId="3855"/>
    <cellStyle name="표준 3 3 2 3 2" xfId="4308"/>
    <cellStyle name="표준 3 3 2 3 2 2" xfId="5300"/>
    <cellStyle name="표준 3 3 2 3 2 2 2" xfId="10177"/>
    <cellStyle name="표준 3 3 2 3 2 2 2 2" xfId="21425"/>
    <cellStyle name="표준 3 3 2 3 2 2 3" xfId="7739"/>
    <cellStyle name="표준 3 3 2 3 2 2 3 2" xfId="18987"/>
    <cellStyle name="표준 3 3 2 3 2 2 4" xfId="16549"/>
    <cellStyle name="표준 3 3 2 3 2 3" xfId="9187"/>
    <cellStyle name="표준 3 3 2 3 2 3 2" xfId="20435"/>
    <cellStyle name="표준 3 3 2 3 2 4" xfId="6749"/>
    <cellStyle name="표준 3 3 2 3 2 4 2" xfId="17997"/>
    <cellStyle name="표준 3 3 2 3 2 5" xfId="15559"/>
    <cellStyle name="표준 3 3 2 3 3" xfId="4847"/>
    <cellStyle name="표준 3 3 2 3 3 2" xfId="9724"/>
    <cellStyle name="표준 3 3 2 3 3 2 2" xfId="20972"/>
    <cellStyle name="표준 3 3 2 3 3 3" xfId="7286"/>
    <cellStyle name="표준 3 3 2 3 3 3 2" xfId="18534"/>
    <cellStyle name="표준 3 3 2 3 3 4" xfId="16096"/>
    <cellStyle name="표준 3 3 2 3 4" xfId="8734"/>
    <cellStyle name="표준 3 3 2 3 4 2" xfId="19982"/>
    <cellStyle name="표준 3 3 2 3 5" xfId="6296"/>
    <cellStyle name="표준 3 3 2 3 5 2" xfId="17544"/>
    <cellStyle name="표준 3 3 2 3 6" xfId="15106"/>
    <cellStyle name="표준 3 3 2 4" xfId="4081"/>
    <cellStyle name="표준 3 3 2 4 2" xfId="5073"/>
    <cellStyle name="표준 3 3 2 4 2 2" xfId="9950"/>
    <cellStyle name="표준 3 3 2 4 2 2 2" xfId="21198"/>
    <cellStyle name="표준 3 3 2 4 2 3" xfId="7512"/>
    <cellStyle name="표준 3 3 2 4 2 3 2" xfId="18760"/>
    <cellStyle name="표준 3 3 2 4 2 4" xfId="16322"/>
    <cellStyle name="표준 3 3 2 4 3" xfId="8960"/>
    <cellStyle name="표준 3 3 2 4 3 2" xfId="20208"/>
    <cellStyle name="표준 3 3 2 4 4" xfId="6522"/>
    <cellStyle name="표준 3 3 2 4 4 2" xfId="17770"/>
    <cellStyle name="표준 3 3 2 4 5" xfId="15332"/>
    <cellStyle name="표준 3 3 2 5" xfId="4621"/>
    <cellStyle name="표준 3 3 2 5 2" xfId="9498"/>
    <cellStyle name="표준 3 3 2 5 2 2" xfId="20746"/>
    <cellStyle name="표준 3 3 2 5 3" xfId="7060"/>
    <cellStyle name="표준 3 3 2 5 3 2" xfId="18308"/>
    <cellStyle name="표준 3 3 2 5 4" xfId="15870"/>
    <cellStyle name="표준 3 3 2 6" xfId="8553"/>
    <cellStyle name="표준 3 3 2 6 2" xfId="19801"/>
    <cellStyle name="표준 3 3 2 7" xfId="6115"/>
    <cellStyle name="표준 3 3 2 7 2" xfId="17363"/>
    <cellStyle name="표준 3 3 2 8" xfId="14925"/>
    <cellStyle name="표준 3 3 3" xfId="3678"/>
    <cellStyle name="표준 3 3 4" xfId="3811"/>
    <cellStyle name="표준 3 3 4 2" xfId="4037"/>
    <cellStyle name="표준 3 3 4 2 2" xfId="4494"/>
    <cellStyle name="표준 3 3 4 2 2 2" xfId="5484"/>
    <cellStyle name="표준 3 3 4 2 2 2 2" xfId="10361"/>
    <cellStyle name="표준 3 3 4 2 2 2 2 2" xfId="21609"/>
    <cellStyle name="표준 3 3 4 2 2 2 3" xfId="7923"/>
    <cellStyle name="표준 3 3 4 2 2 2 3 2" xfId="19171"/>
    <cellStyle name="표준 3 3 4 2 2 2 4" xfId="16733"/>
    <cellStyle name="표준 3 3 4 2 2 3" xfId="9371"/>
    <cellStyle name="표준 3 3 4 2 2 3 2" xfId="20619"/>
    <cellStyle name="표준 3 3 4 2 2 4" xfId="6933"/>
    <cellStyle name="표준 3 3 4 2 2 4 2" xfId="18181"/>
    <cellStyle name="표준 3 3 4 2 2 5" xfId="15743"/>
    <cellStyle name="표준 3 3 4 2 3" xfId="5029"/>
    <cellStyle name="표준 3 3 4 2 3 2" xfId="9906"/>
    <cellStyle name="표준 3 3 4 2 3 2 2" xfId="21154"/>
    <cellStyle name="표준 3 3 4 2 3 3" xfId="7468"/>
    <cellStyle name="표준 3 3 4 2 3 3 2" xfId="18716"/>
    <cellStyle name="표준 3 3 4 2 3 4" xfId="16278"/>
    <cellStyle name="표준 3 3 4 2 4" xfId="8916"/>
    <cellStyle name="표준 3 3 4 2 4 2" xfId="20164"/>
    <cellStyle name="표준 3 3 4 2 5" xfId="6478"/>
    <cellStyle name="표준 3 3 4 2 5 2" xfId="17726"/>
    <cellStyle name="표준 3 3 4 2 6" xfId="15288"/>
    <cellStyle name="표준 3 3 4 3" xfId="4263"/>
    <cellStyle name="표준 3 3 4 3 2" xfId="5255"/>
    <cellStyle name="표준 3 3 4 3 2 2" xfId="10132"/>
    <cellStyle name="표준 3 3 4 3 2 2 2" xfId="21380"/>
    <cellStyle name="표준 3 3 4 3 2 3" xfId="7694"/>
    <cellStyle name="표준 3 3 4 3 2 3 2" xfId="18942"/>
    <cellStyle name="표준 3 3 4 3 2 4" xfId="16504"/>
    <cellStyle name="표준 3 3 4 3 3" xfId="9142"/>
    <cellStyle name="표준 3 3 4 3 3 2" xfId="20390"/>
    <cellStyle name="표준 3 3 4 3 4" xfId="6704"/>
    <cellStyle name="표준 3 3 4 3 4 2" xfId="17952"/>
    <cellStyle name="표준 3 3 4 3 5" xfId="15514"/>
    <cellStyle name="표준 3 3 4 4" xfId="4803"/>
    <cellStyle name="표준 3 3 4 4 2" xfId="9680"/>
    <cellStyle name="표준 3 3 4 4 2 2" xfId="20928"/>
    <cellStyle name="표준 3 3 4 4 3" xfId="7242"/>
    <cellStyle name="표준 3 3 4 4 3 2" xfId="18490"/>
    <cellStyle name="표준 3 3 4 4 4" xfId="16052"/>
    <cellStyle name="표준 3 3 4 5" xfId="8690"/>
    <cellStyle name="표준 3 3 4 5 2" xfId="19938"/>
    <cellStyle name="표준 3 3 4 6" xfId="6252"/>
    <cellStyle name="표준 3 3 4 6 2" xfId="17500"/>
    <cellStyle name="표준 3 3 4 7" xfId="15062"/>
    <cellStyle name="표준 3 3 5" xfId="3833"/>
    <cellStyle name="표준 3 3 5 2" xfId="4286"/>
    <cellStyle name="표준 3 3 5 2 2" xfId="5278"/>
    <cellStyle name="표준 3 3 5 2 2 2" xfId="10155"/>
    <cellStyle name="표준 3 3 5 2 2 2 2" xfId="21403"/>
    <cellStyle name="표준 3 3 5 2 2 3" xfId="7717"/>
    <cellStyle name="표준 3 3 5 2 2 3 2" xfId="18965"/>
    <cellStyle name="표준 3 3 5 2 2 4" xfId="16527"/>
    <cellStyle name="표준 3 3 5 2 3" xfId="9165"/>
    <cellStyle name="표준 3 3 5 2 3 2" xfId="20413"/>
    <cellStyle name="표준 3 3 5 2 4" xfId="6727"/>
    <cellStyle name="표준 3 3 5 2 4 2" xfId="17975"/>
    <cellStyle name="표준 3 3 5 2 5" xfId="15537"/>
    <cellStyle name="표준 3 3 5 3" xfId="4825"/>
    <cellStyle name="표준 3 3 5 3 2" xfId="9702"/>
    <cellStyle name="표준 3 3 5 3 2 2" xfId="20950"/>
    <cellStyle name="표준 3 3 5 3 3" xfId="7264"/>
    <cellStyle name="표준 3 3 5 3 3 2" xfId="18512"/>
    <cellStyle name="표준 3 3 5 3 4" xfId="16074"/>
    <cellStyle name="표준 3 3 5 4" xfId="8712"/>
    <cellStyle name="표준 3 3 5 4 2" xfId="19960"/>
    <cellStyle name="표준 3 3 5 5" xfId="6274"/>
    <cellStyle name="표준 3 3 5 5 2" xfId="17522"/>
    <cellStyle name="표준 3 3 5 6" xfId="15084"/>
    <cellStyle name="표준 3 3 6" xfId="4059"/>
    <cellStyle name="표준 3 3 6 2" xfId="5051"/>
    <cellStyle name="표준 3 3 6 2 2" xfId="9928"/>
    <cellStyle name="표준 3 3 6 2 2 2" xfId="21176"/>
    <cellStyle name="표준 3 3 6 2 3" xfId="7490"/>
    <cellStyle name="표준 3 3 6 2 3 2" xfId="18738"/>
    <cellStyle name="표준 3 3 6 2 4" xfId="16300"/>
    <cellStyle name="표준 3 3 6 3" xfId="8938"/>
    <cellStyle name="표준 3 3 6 3 2" xfId="20186"/>
    <cellStyle name="표준 3 3 6 4" xfId="6500"/>
    <cellStyle name="표준 3 3 6 4 2" xfId="17748"/>
    <cellStyle name="표준 3 3 6 5" xfId="15310"/>
    <cellStyle name="표준 3 3 7" xfId="4599"/>
    <cellStyle name="표준 3 3 7 2" xfId="9476"/>
    <cellStyle name="표준 3 3 7 2 2" xfId="20724"/>
    <cellStyle name="표준 3 3 7 3" xfId="7038"/>
    <cellStyle name="표준 3 3 7 3 2" xfId="18286"/>
    <cellStyle name="표준 3 3 7 4" xfId="15848"/>
    <cellStyle name="표준 3 3 8" xfId="3644"/>
    <cellStyle name="표준 3 3 8 2" xfId="8543"/>
    <cellStyle name="표준 3 3 8 2 2" xfId="19791"/>
    <cellStyle name="표준 3 3 8 3" xfId="6105"/>
    <cellStyle name="표준 3 3 8 3 2" xfId="17353"/>
    <cellStyle name="표준 3 3 8 4" xfId="14915"/>
    <cellStyle name="표준 3 4" xfId="828"/>
    <cellStyle name="표준 3 4 10" xfId="5924"/>
    <cellStyle name="표준 3 4 10 2" xfId="17172"/>
    <cellStyle name="표준 3 4 11" xfId="10808"/>
    <cellStyle name="표준 3 4 11 2" xfId="22056"/>
    <cellStyle name="표준 3 4 12" xfId="3462"/>
    <cellStyle name="표준 3 4 12 2" xfId="14734"/>
    <cellStyle name="표준 3 4 13" xfId="2452"/>
    <cellStyle name="표준 3 4 13 2" xfId="13841"/>
    <cellStyle name="표준 3 4 14" xfId="12381"/>
    <cellStyle name="표준 3 4 2" xfId="1474"/>
    <cellStyle name="표준 3 4 2 10" xfId="3086"/>
    <cellStyle name="표준 3 4 2 10 2" xfId="14364"/>
    <cellStyle name="표준 3 4 2 11" xfId="12904"/>
    <cellStyle name="표준 3 4 2 2" xfId="3941"/>
    <cellStyle name="표준 3 4 2 2 2" xfId="4394"/>
    <cellStyle name="표준 3 4 2 2 2 2" xfId="5386"/>
    <cellStyle name="표준 3 4 2 2 2 2 2" xfId="10263"/>
    <cellStyle name="표준 3 4 2 2 2 2 2 2" xfId="21511"/>
    <cellStyle name="표준 3 4 2 2 2 2 3" xfId="7825"/>
    <cellStyle name="표준 3 4 2 2 2 2 3 2" xfId="19073"/>
    <cellStyle name="표준 3 4 2 2 2 2 4" xfId="16635"/>
    <cellStyle name="표준 3 4 2 2 2 3" xfId="9273"/>
    <cellStyle name="표준 3 4 2 2 2 3 2" xfId="20521"/>
    <cellStyle name="표준 3 4 2 2 2 4" xfId="6835"/>
    <cellStyle name="표준 3 4 2 2 2 4 2" xfId="18083"/>
    <cellStyle name="표준 3 4 2 2 2 5" xfId="15645"/>
    <cellStyle name="표준 3 4 2 2 3" xfId="4933"/>
    <cellStyle name="표준 3 4 2 2 3 2" xfId="9810"/>
    <cellStyle name="표준 3 4 2 2 3 2 2" xfId="21058"/>
    <cellStyle name="표준 3 4 2 2 3 3" xfId="7372"/>
    <cellStyle name="표준 3 4 2 2 3 3 2" xfId="18620"/>
    <cellStyle name="표준 3 4 2 2 3 4" xfId="16182"/>
    <cellStyle name="표준 3 4 2 2 4" xfId="8820"/>
    <cellStyle name="표준 3 4 2 2 4 2" xfId="20068"/>
    <cellStyle name="표준 3 4 2 2 5" xfId="6382"/>
    <cellStyle name="표준 3 4 2 2 5 2" xfId="17630"/>
    <cellStyle name="표준 3 4 2 2 6" xfId="11076"/>
    <cellStyle name="표준 3 4 2 2 6 2" xfId="22323"/>
    <cellStyle name="표준 3 4 2 2 7" xfId="15192"/>
    <cellStyle name="표준 3 4 2 3" xfId="4167"/>
    <cellStyle name="표준 3 4 2 3 2" xfId="5159"/>
    <cellStyle name="표준 3 4 2 3 2 2" xfId="10036"/>
    <cellStyle name="표준 3 4 2 3 2 2 2" xfId="21284"/>
    <cellStyle name="표준 3 4 2 3 2 3" xfId="7598"/>
    <cellStyle name="표준 3 4 2 3 2 3 2" xfId="18846"/>
    <cellStyle name="표준 3 4 2 3 2 4" xfId="16408"/>
    <cellStyle name="표준 3 4 2 3 3" xfId="9046"/>
    <cellStyle name="표준 3 4 2 3 3 2" xfId="20294"/>
    <cellStyle name="표준 3 4 2 3 4" xfId="6608"/>
    <cellStyle name="표준 3 4 2 3 4 2" xfId="17856"/>
    <cellStyle name="표준 3 4 2 3 5" xfId="15418"/>
    <cellStyle name="표준 3 4 2 4" xfId="4707"/>
    <cellStyle name="표준 3 4 2 4 2" xfId="9584"/>
    <cellStyle name="표준 3 4 2 4 2 2" xfId="20832"/>
    <cellStyle name="표준 3 4 2 4 3" xfId="7146"/>
    <cellStyle name="표준 3 4 2 4 3 2" xfId="18394"/>
    <cellStyle name="표준 3 4 2 4 4" xfId="15956"/>
    <cellStyle name="표준 3 4 2 5" xfId="3716"/>
    <cellStyle name="표준 3 4 2 5 2" xfId="8595"/>
    <cellStyle name="표준 3 4 2 5 2 2" xfId="19843"/>
    <cellStyle name="표준 3 4 2 5 3" xfId="6157"/>
    <cellStyle name="표준 3 4 2 5 3 2" xfId="17405"/>
    <cellStyle name="표준 3 4 2 5 4" xfId="14967"/>
    <cellStyle name="표준 3 4 2 6" xfId="8445"/>
    <cellStyle name="표준 3 4 2 6 2" xfId="19693"/>
    <cellStyle name="표준 3 4 2 7" xfId="6007"/>
    <cellStyle name="표준 3 4 2 7 2" xfId="17255"/>
    <cellStyle name="표준 3 4 2 8" xfId="10891"/>
    <cellStyle name="표준 3 4 2 8 2" xfId="22139"/>
    <cellStyle name="표준 3 4 2 9" xfId="3545"/>
    <cellStyle name="표준 3 4 2 9 2" xfId="14817"/>
    <cellStyle name="표준 3 4 3" xfId="1382"/>
    <cellStyle name="표준 3 4 3 10" xfId="12821"/>
    <cellStyle name="표준 3 4 3 2" xfId="4027"/>
    <cellStyle name="표준 3 4 3 2 2" xfId="4480"/>
    <cellStyle name="표준 3 4 3 2 2 2" xfId="5472"/>
    <cellStyle name="표준 3 4 3 2 2 2 2" xfId="10349"/>
    <cellStyle name="표준 3 4 3 2 2 2 2 2" xfId="21597"/>
    <cellStyle name="표준 3 4 3 2 2 2 3" xfId="7911"/>
    <cellStyle name="표준 3 4 3 2 2 2 3 2" xfId="19159"/>
    <cellStyle name="표준 3 4 3 2 2 2 4" xfId="16721"/>
    <cellStyle name="표준 3 4 3 2 2 3" xfId="9359"/>
    <cellStyle name="표준 3 4 3 2 2 3 2" xfId="20607"/>
    <cellStyle name="표준 3 4 3 2 2 4" xfId="6921"/>
    <cellStyle name="표준 3 4 3 2 2 4 2" xfId="18169"/>
    <cellStyle name="표준 3 4 3 2 2 5" xfId="15731"/>
    <cellStyle name="표준 3 4 3 2 3" xfId="5019"/>
    <cellStyle name="표준 3 4 3 2 3 2" xfId="9896"/>
    <cellStyle name="표준 3 4 3 2 3 2 2" xfId="21144"/>
    <cellStyle name="표준 3 4 3 2 3 3" xfId="7458"/>
    <cellStyle name="표준 3 4 3 2 3 3 2" xfId="18706"/>
    <cellStyle name="표준 3 4 3 2 3 4" xfId="16268"/>
    <cellStyle name="표준 3 4 3 2 4" xfId="8906"/>
    <cellStyle name="표준 3 4 3 2 4 2" xfId="20154"/>
    <cellStyle name="표준 3 4 3 2 5" xfId="6468"/>
    <cellStyle name="표준 3 4 3 2 5 2" xfId="17716"/>
    <cellStyle name="표준 3 4 3 2 6" xfId="15278"/>
    <cellStyle name="표준 3 4 3 3" xfId="4253"/>
    <cellStyle name="표준 3 4 3 3 2" xfId="5245"/>
    <cellStyle name="표준 3 4 3 3 2 2" xfId="10122"/>
    <cellStyle name="표준 3 4 3 3 2 2 2" xfId="21370"/>
    <cellStyle name="표준 3 4 3 3 2 3" xfId="7684"/>
    <cellStyle name="표준 3 4 3 3 2 3 2" xfId="18932"/>
    <cellStyle name="표준 3 4 3 3 2 4" xfId="16494"/>
    <cellStyle name="표준 3 4 3 3 3" xfId="9132"/>
    <cellStyle name="표준 3 4 3 3 3 2" xfId="20380"/>
    <cellStyle name="표준 3 4 3 3 4" xfId="6694"/>
    <cellStyle name="표준 3 4 3 3 4 2" xfId="17942"/>
    <cellStyle name="표준 3 4 3 3 5" xfId="15504"/>
    <cellStyle name="표준 3 4 3 4" xfId="4793"/>
    <cellStyle name="표준 3 4 3 4 2" xfId="9670"/>
    <cellStyle name="표준 3 4 3 4 2 2" xfId="20918"/>
    <cellStyle name="표준 3 4 3 4 3" xfId="7232"/>
    <cellStyle name="표준 3 4 3 4 3 2" xfId="18480"/>
    <cellStyle name="표준 3 4 3 4 4" xfId="16042"/>
    <cellStyle name="표준 3 4 3 5" xfId="8680"/>
    <cellStyle name="표준 3 4 3 5 2" xfId="19928"/>
    <cellStyle name="표준 3 4 3 6" xfId="6242"/>
    <cellStyle name="표준 3 4 3 6 2" xfId="17490"/>
    <cellStyle name="표준 3 4 3 7" xfId="10993"/>
    <cellStyle name="표준 3 4 3 7 2" xfId="22240"/>
    <cellStyle name="표준 3 4 3 8" xfId="3801"/>
    <cellStyle name="표준 3 4 3 8 2" xfId="15052"/>
    <cellStyle name="표준 3 4 3 9" xfId="3003"/>
    <cellStyle name="표준 3 4 3 9 2" xfId="14281"/>
    <cellStyle name="표준 3 4 4" xfId="4576"/>
    <cellStyle name="표준 3 4 4 2" xfId="5566"/>
    <cellStyle name="표준 3 4 4 2 2" xfId="10443"/>
    <cellStyle name="표준 3 4 4 2 2 2" xfId="21691"/>
    <cellStyle name="표준 3 4 4 2 3" xfId="8005"/>
    <cellStyle name="표준 3 4 4 2 3 2" xfId="19253"/>
    <cellStyle name="표준 3 4 4 2 4" xfId="16815"/>
    <cellStyle name="표준 3 4 4 3" xfId="9453"/>
    <cellStyle name="표준 3 4 4 3 2" xfId="20701"/>
    <cellStyle name="표준 3 4 4 4" xfId="7015"/>
    <cellStyle name="표준 3 4 4 4 2" xfId="18263"/>
    <cellStyle name="표준 3 4 4 5" xfId="15825"/>
    <cellStyle name="표준 3 4 5" xfId="5650"/>
    <cellStyle name="표준 3 4 5 2" xfId="10527"/>
    <cellStyle name="표준 3 4 5 2 2" xfId="21775"/>
    <cellStyle name="표준 3 4 5 3" xfId="8089"/>
    <cellStyle name="표준 3 4 5 3 2" xfId="19337"/>
    <cellStyle name="표준 3 4 5 4" xfId="16899"/>
    <cellStyle name="표준 3 4 6" xfId="5756"/>
    <cellStyle name="표준 3 4 6 2" xfId="10633"/>
    <cellStyle name="표준 3 4 6 2 2" xfId="21881"/>
    <cellStyle name="표준 3 4 6 3" xfId="8195"/>
    <cellStyle name="표준 3 4 6 3 2" xfId="19443"/>
    <cellStyle name="표준 3 4 6 4" xfId="17005"/>
    <cellStyle name="표준 3 4 7" xfId="3673"/>
    <cellStyle name="표준 3 4 7 2" xfId="5839"/>
    <cellStyle name="표준 3 4 7 2 2" xfId="10716"/>
    <cellStyle name="표준 3 4 7 2 2 2" xfId="21964"/>
    <cellStyle name="표준 3 4 7 2 3" xfId="8278"/>
    <cellStyle name="표준 3 4 7 2 3 2" xfId="19526"/>
    <cellStyle name="표준 3 4 7 2 4" xfId="17088"/>
    <cellStyle name="표준 3 4 8" xfId="3642"/>
    <cellStyle name="표준 3 4 8 2" xfId="8541"/>
    <cellStyle name="표준 3 4 8 2 2" xfId="19789"/>
    <cellStyle name="표준 3 4 8 3" xfId="6103"/>
    <cellStyle name="표준 3 4 8 3 2" xfId="17351"/>
    <cellStyle name="표준 3 4 8 4" xfId="14913"/>
    <cellStyle name="표준 3 4 9" xfId="8362"/>
    <cellStyle name="표준 3 4 9 2" xfId="19610"/>
    <cellStyle name="표준 3 5" xfId="730"/>
    <cellStyle name="표준 3 5 10" xfId="3469"/>
    <cellStyle name="표준 3 5 10 2" xfId="14741"/>
    <cellStyle name="표준 3 5 11" xfId="2362"/>
    <cellStyle name="표준 3 5 11 2" xfId="13765"/>
    <cellStyle name="표준 3 5 12" xfId="12305"/>
    <cellStyle name="표준 3 5 2" xfId="1691"/>
    <cellStyle name="표준 3 5 2 10" xfId="13121"/>
    <cellStyle name="표준 3 5 2 2" xfId="3957"/>
    <cellStyle name="표준 3 5 2 2 2" xfId="4410"/>
    <cellStyle name="표준 3 5 2 2 2 2" xfId="5402"/>
    <cellStyle name="표준 3 5 2 2 2 2 2" xfId="10279"/>
    <cellStyle name="표준 3 5 2 2 2 2 2 2" xfId="21527"/>
    <cellStyle name="표준 3 5 2 2 2 2 3" xfId="7841"/>
    <cellStyle name="표준 3 5 2 2 2 2 3 2" xfId="19089"/>
    <cellStyle name="표준 3 5 2 2 2 2 4" xfId="16651"/>
    <cellStyle name="표준 3 5 2 2 2 3" xfId="9289"/>
    <cellStyle name="표준 3 5 2 2 2 3 2" xfId="20537"/>
    <cellStyle name="표준 3 5 2 2 2 4" xfId="6851"/>
    <cellStyle name="표준 3 5 2 2 2 4 2" xfId="18099"/>
    <cellStyle name="표준 3 5 2 2 2 5" xfId="15661"/>
    <cellStyle name="표준 3 5 2 2 3" xfId="4949"/>
    <cellStyle name="표준 3 5 2 2 3 2" xfId="9826"/>
    <cellStyle name="표준 3 5 2 2 3 2 2" xfId="21074"/>
    <cellStyle name="표준 3 5 2 2 3 3" xfId="7388"/>
    <cellStyle name="표준 3 5 2 2 3 3 2" xfId="18636"/>
    <cellStyle name="표준 3 5 2 2 3 4" xfId="16198"/>
    <cellStyle name="표준 3 5 2 2 4" xfId="8836"/>
    <cellStyle name="표준 3 5 2 2 4 2" xfId="20084"/>
    <cellStyle name="표준 3 5 2 2 5" xfId="6398"/>
    <cellStyle name="표준 3 5 2 2 5 2" xfId="17646"/>
    <cellStyle name="표준 3 5 2 2 6" xfId="15208"/>
    <cellStyle name="표준 3 5 2 3" xfId="4183"/>
    <cellStyle name="표준 3 5 2 3 2" xfId="5175"/>
    <cellStyle name="표준 3 5 2 3 2 2" xfId="10052"/>
    <cellStyle name="표준 3 5 2 3 2 2 2" xfId="21300"/>
    <cellStyle name="표준 3 5 2 3 2 3" xfId="7614"/>
    <cellStyle name="표준 3 5 2 3 2 3 2" xfId="18862"/>
    <cellStyle name="표준 3 5 2 3 2 4" xfId="16424"/>
    <cellStyle name="표준 3 5 2 3 3" xfId="9062"/>
    <cellStyle name="표준 3 5 2 3 3 2" xfId="20310"/>
    <cellStyle name="표준 3 5 2 3 4" xfId="6624"/>
    <cellStyle name="표준 3 5 2 3 4 2" xfId="17872"/>
    <cellStyle name="표준 3 5 2 3 5" xfId="15434"/>
    <cellStyle name="표준 3 5 2 4" xfId="4723"/>
    <cellStyle name="표준 3 5 2 4 2" xfId="9600"/>
    <cellStyle name="표준 3 5 2 4 2 2" xfId="20848"/>
    <cellStyle name="표준 3 5 2 4 3" xfId="7162"/>
    <cellStyle name="표준 3 5 2 4 3 2" xfId="18410"/>
    <cellStyle name="표준 3 5 2 4 4" xfId="15972"/>
    <cellStyle name="표준 3 5 2 5" xfId="8610"/>
    <cellStyle name="표준 3 5 2 5 2" xfId="19858"/>
    <cellStyle name="표준 3 5 2 6" xfId="6172"/>
    <cellStyle name="표준 3 5 2 6 2" xfId="17420"/>
    <cellStyle name="표준 3 5 2 7" xfId="11000"/>
    <cellStyle name="표준 3 5 2 7 2" xfId="22247"/>
    <cellStyle name="표준 3 5 2 8" xfId="3731"/>
    <cellStyle name="표준 3 5 2 8 2" xfId="14982"/>
    <cellStyle name="표준 3 5 2 9" xfId="3303"/>
    <cellStyle name="표준 3 5 2 9 2" xfId="14581"/>
    <cellStyle name="표준 3 5 3" xfId="1306"/>
    <cellStyle name="표준 3 5 3 2" xfId="4296"/>
    <cellStyle name="표준 3 5 3 2 2" xfId="5288"/>
    <cellStyle name="표준 3 5 3 2 2 2" xfId="10165"/>
    <cellStyle name="표준 3 5 3 2 2 2 2" xfId="21413"/>
    <cellStyle name="표준 3 5 3 2 2 3" xfId="7727"/>
    <cellStyle name="표준 3 5 3 2 2 3 2" xfId="18975"/>
    <cellStyle name="표준 3 5 3 2 2 4" xfId="16537"/>
    <cellStyle name="표준 3 5 3 2 3" xfId="9175"/>
    <cellStyle name="표준 3 5 3 2 3 2" xfId="20423"/>
    <cellStyle name="표준 3 5 3 2 4" xfId="6737"/>
    <cellStyle name="표준 3 5 3 2 4 2" xfId="17985"/>
    <cellStyle name="표준 3 5 3 2 5" xfId="15547"/>
    <cellStyle name="표준 3 5 3 3" xfId="4835"/>
    <cellStyle name="표준 3 5 3 3 2" xfId="9712"/>
    <cellStyle name="표준 3 5 3 3 2 2" xfId="20960"/>
    <cellStyle name="표준 3 5 3 3 3" xfId="7274"/>
    <cellStyle name="표준 3 5 3 3 3 2" xfId="18522"/>
    <cellStyle name="표준 3 5 3 3 4" xfId="16084"/>
    <cellStyle name="표준 3 5 3 4" xfId="8722"/>
    <cellStyle name="표준 3 5 3 4 2" xfId="19970"/>
    <cellStyle name="표준 3 5 3 5" xfId="6284"/>
    <cellStyle name="표준 3 5 3 5 2" xfId="17532"/>
    <cellStyle name="표준 3 5 3 6" xfId="3843"/>
    <cellStyle name="표준 3 5 3 6 2" xfId="15094"/>
    <cellStyle name="표준 3 5 3 7" xfId="2927"/>
    <cellStyle name="표준 3 5 3 7 2" xfId="14205"/>
    <cellStyle name="표준 3 5 3 8" xfId="12745"/>
    <cellStyle name="표준 3 5 4" xfId="4069"/>
    <cellStyle name="표준 3 5 4 2" xfId="5061"/>
    <cellStyle name="표준 3 5 4 2 2" xfId="9938"/>
    <cellStyle name="표준 3 5 4 2 2 2" xfId="21186"/>
    <cellStyle name="표준 3 5 4 2 3" xfId="7500"/>
    <cellStyle name="표준 3 5 4 2 3 2" xfId="18748"/>
    <cellStyle name="표준 3 5 4 2 4" xfId="16310"/>
    <cellStyle name="표준 3 5 4 3" xfId="8948"/>
    <cellStyle name="표준 3 5 4 3 2" xfId="20196"/>
    <cellStyle name="표준 3 5 4 4" xfId="6510"/>
    <cellStyle name="표준 3 5 4 4 2" xfId="17758"/>
    <cellStyle name="표준 3 5 4 5" xfId="15320"/>
    <cellStyle name="표준 3 5 5" xfId="4609"/>
    <cellStyle name="표준 3 5 5 2" xfId="9486"/>
    <cellStyle name="표준 3 5 5 2 2" xfId="20734"/>
    <cellStyle name="표준 3 5 5 3" xfId="7048"/>
    <cellStyle name="표준 3 5 5 3 2" xfId="18296"/>
    <cellStyle name="표준 3 5 5 4" xfId="15858"/>
    <cellStyle name="표준 3 5 6" xfId="3566"/>
    <cellStyle name="표준 3 5 6 2" xfId="8465"/>
    <cellStyle name="표준 3 5 6 2 2" xfId="19713"/>
    <cellStyle name="표준 3 5 6 3" xfId="6027"/>
    <cellStyle name="표준 3 5 6 3 2" xfId="17275"/>
    <cellStyle name="표준 3 5 6 4" xfId="14837"/>
    <cellStyle name="표준 3 5 7" xfId="8369"/>
    <cellStyle name="표준 3 5 7 2" xfId="19617"/>
    <cellStyle name="표준 3 5 8" xfId="5931"/>
    <cellStyle name="표준 3 5 8 2" xfId="17179"/>
    <cellStyle name="표준 3 5 9" xfId="10815"/>
    <cellStyle name="표준 3 5 9 2" xfId="22063"/>
    <cellStyle name="표준 3 6" xfId="1395"/>
    <cellStyle name="표준 3 6 10" xfId="12828"/>
    <cellStyle name="표준 3 6 2" xfId="3865"/>
    <cellStyle name="표준 3 6 2 2" xfId="4318"/>
    <cellStyle name="표준 3 6 2 2 2" xfId="5310"/>
    <cellStyle name="표준 3 6 2 2 2 2" xfId="10187"/>
    <cellStyle name="표준 3 6 2 2 2 2 2" xfId="21435"/>
    <cellStyle name="표준 3 6 2 2 2 3" xfId="7749"/>
    <cellStyle name="표준 3 6 2 2 2 3 2" xfId="18997"/>
    <cellStyle name="표준 3 6 2 2 2 4" xfId="16559"/>
    <cellStyle name="표준 3 6 2 2 3" xfId="9197"/>
    <cellStyle name="표준 3 6 2 2 3 2" xfId="20445"/>
    <cellStyle name="표준 3 6 2 2 4" xfId="6759"/>
    <cellStyle name="표준 3 6 2 2 4 2" xfId="18007"/>
    <cellStyle name="표준 3 6 2 2 5" xfId="15569"/>
    <cellStyle name="표준 3 6 2 3" xfId="4857"/>
    <cellStyle name="표준 3 6 2 3 2" xfId="9734"/>
    <cellStyle name="표준 3 6 2 3 2 2" xfId="20982"/>
    <cellStyle name="표준 3 6 2 3 3" xfId="7296"/>
    <cellStyle name="표준 3 6 2 3 3 2" xfId="18544"/>
    <cellStyle name="표준 3 6 2 3 4" xfId="16106"/>
    <cellStyle name="표준 3 6 2 4" xfId="8744"/>
    <cellStyle name="표준 3 6 2 4 2" xfId="19992"/>
    <cellStyle name="표준 3 6 2 5" xfId="6306"/>
    <cellStyle name="표준 3 6 2 5 2" xfId="17554"/>
    <cellStyle name="표준 3 6 2 6" xfId="15116"/>
    <cellStyle name="표준 3 6 3" xfId="4091"/>
    <cellStyle name="표준 3 6 3 2" xfId="5083"/>
    <cellStyle name="표준 3 6 3 2 2" xfId="9960"/>
    <cellStyle name="표준 3 6 3 2 2 2" xfId="21208"/>
    <cellStyle name="표준 3 6 3 2 3" xfId="7522"/>
    <cellStyle name="표준 3 6 3 2 3 2" xfId="18770"/>
    <cellStyle name="표준 3 6 3 2 4" xfId="16332"/>
    <cellStyle name="표준 3 6 3 3" xfId="8970"/>
    <cellStyle name="표준 3 6 3 3 2" xfId="20218"/>
    <cellStyle name="표준 3 6 3 4" xfId="6532"/>
    <cellStyle name="표준 3 6 3 4 2" xfId="17780"/>
    <cellStyle name="표준 3 6 3 5" xfId="15342"/>
    <cellStyle name="표준 3 6 4" xfId="4631"/>
    <cellStyle name="표준 3 6 4 2" xfId="9508"/>
    <cellStyle name="표준 3 6 4 2 2" xfId="20756"/>
    <cellStyle name="표준 3 6 4 3" xfId="7070"/>
    <cellStyle name="표준 3 6 4 3 2" xfId="18318"/>
    <cellStyle name="표준 3 6 4 4" xfId="15880"/>
    <cellStyle name="표준 3 6 5" xfId="8555"/>
    <cellStyle name="표준 3 6 5 2" xfId="19803"/>
    <cellStyle name="표준 3 6 6" xfId="6117"/>
    <cellStyle name="표준 3 6 6 2" xfId="17365"/>
    <cellStyle name="표준 3 6 7" xfId="10917"/>
    <cellStyle name="표준 3 6 7 2" xfId="22164"/>
    <cellStyle name="표준 3 6 8" xfId="3675"/>
    <cellStyle name="표준 3 6 8 2" xfId="14927"/>
    <cellStyle name="표준 3 6 9" xfId="3010"/>
    <cellStyle name="표준 3 6 9 2" xfId="14288"/>
    <cellStyle name="표준 3 7" xfId="3723"/>
    <cellStyle name="표준 3 7 2" xfId="3949"/>
    <cellStyle name="표준 3 7 2 2" xfId="4402"/>
    <cellStyle name="표준 3 7 2 2 2" xfId="5394"/>
    <cellStyle name="표준 3 7 2 2 2 2" xfId="10271"/>
    <cellStyle name="표준 3 7 2 2 2 2 2" xfId="21519"/>
    <cellStyle name="표준 3 7 2 2 2 3" xfId="7833"/>
    <cellStyle name="표준 3 7 2 2 2 3 2" xfId="19081"/>
    <cellStyle name="표준 3 7 2 2 2 4" xfId="16643"/>
    <cellStyle name="표준 3 7 2 2 3" xfId="9281"/>
    <cellStyle name="표준 3 7 2 2 3 2" xfId="20529"/>
    <cellStyle name="표준 3 7 2 2 4" xfId="6843"/>
    <cellStyle name="표준 3 7 2 2 4 2" xfId="18091"/>
    <cellStyle name="표준 3 7 2 2 5" xfId="15653"/>
    <cellStyle name="표준 3 7 2 3" xfId="4941"/>
    <cellStyle name="표준 3 7 2 3 2" xfId="9818"/>
    <cellStyle name="표준 3 7 2 3 2 2" xfId="21066"/>
    <cellStyle name="표준 3 7 2 3 3" xfId="7380"/>
    <cellStyle name="표준 3 7 2 3 3 2" xfId="18628"/>
    <cellStyle name="표준 3 7 2 3 4" xfId="16190"/>
    <cellStyle name="표준 3 7 2 4" xfId="8828"/>
    <cellStyle name="표준 3 7 2 4 2" xfId="20076"/>
    <cellStyle name="표준 3 7 2 5" xfId="6390"/>
    <cellStyle name="표준 3 7 2 5 2" xfId="17638"/>
    <cellStyle name="표준 3 7 2 6" xfId="15200"/>
    <cellStyle name="표준 3 7 3" xfId="4175"/>
    <cellStyle name="표준 3 7 3 2" xfId="5167"/>
    <cellStyle name="표준 3 7 3 2 2" xfId="10044"/>
    <cellStyle name="표준 3 7 3 2 2 2" xfId="21292"/>
    <cellStyle name="표준 3 7 3 2 3" xfId="7606"/>
    <cellStyle name="표준 3 7 3 2 3 2" xfId="18854"/>
    <cellStyle name="표준 3 7 3 2 4" xfId="16416"/>
    <cellStyle name="표준 3 7 3 3" xfId="9054"/>
    <cellStyle name="표준 3 7 3 3 2" xfId="20302"/>
    <cellStyle name="표준 3 7 3 4" xfId="6616"/>
    <cellStyle name="표준 3 7 3 4 2" xfId="17864"/>
    <cellStyle name="표준 3 7 3 5" xfId="15426"/>
    <cellStyle name="표준 3 7 4" xfId="4715"/>
    <cellStyle name="표준 3 7 4 2" xfId="9592"/>
    <cellStyle name="표준 3 7 4 2 2" xfId="20840"/>
    <cellStyle name="표준 3 7 4 3" xfId="7154"/>
    <cellStyle name="표준 3 7 4 3 2" xfId="18402"/>
    <cellStyle name="표준 3 7 4 4" xfId="15964"/>
    <cellStyle name="표준 3 7 5" xfId="8602"/>
    <cellStyle name="표준 3 7 5 2" xfId="19850"/>
    <cellStyle name="표준 3 7 6" xfId="6164"/>
    <cellStyle name="표준 3 7 6 2" xfId="17412"/>
    <cellStyle name="표준 3 7 7" xfId="14974"/>
    <cellStyle name="표준 3 8" xfId="3821"/>
    <cellStyle name="표준 3 8 2" xfId="4274"/>
    <cellStyle name="표준 3 8 2 2" xfId="5266"/>
    <cellStyle name="표준 3 8 2 2 2" xfId="10143"/>
    <cellStyle name="표준 3 8 2 2 2 2" xfId="21391"/>
    <cellStyle name="표준 3 8 2 2 3" xfId="7705"/>
    <cellStyle name="표준 3 8 2 2 3 2" xfId="18953"/>
    <cellStyle name="표준 3 8 2 2 4" xfId="16515"/>
    <cellStyle name="표준 3 8 2 3" xfId="9153"/>
    <cellStyle name="표준 3 8 2 3 2" xfId="20401"/>
    <cellStyle name="표준 3 8 2 4" xfId="6715"/>
    <cellStyle name="표준 3 8 2 4 2" xfId="17963"/>
    <cellStyle name="표준 3 8 2 5" xfId="15525"/>
    <cellStyle name="표준 3 8 3" xfId="4813"/>
    <cellStyle name="표준 3 8 3 2" xfId="9690"/>
    <cellStyle name="표준 3 8 3 2 2" xfId="20938"/>
    <cellStyle name="표준 3 8 3 3" xfId="7252"/>
    <cellStyle name="표준 3 8 3 3 2" xfId="18500"/>
    <cellStyle name="표준 3 8 3 4" xfId="16062"/>
    <cellStyle name="표준 3 8 4" xfId="8700"/>
    <cellStyle name="표준 3 8 4 2" xfId="19948"/>
    <cellStyle name="표준 3 8 5" xfId="6262"/>
    <cellStyle name="표준 3 8 5 2" xfId="17510"/>
    <cellStyle name="표준 3 8 6" xfId="15072"/>
    <cellStyle name="표준 3 9" xfId="4047"/>
    <cellStyle name="표준 3 9 2" xfId="5039"/>
    <cellStyle name="표준 3 9 2 2" xfId="9916"/>
    <cellStyle name="표준 3 9 2 2 2" xfId="21164"/>
    <cellStyle name="표준 3 9 2 3" xfId="7478"/>
    <cellStyle name="표준 3 9 2 3 2" xfId="18726"/>
    <cellStyle name="표준 3 9 2 4" xfId="16288"/>
    <cellStyle name="표준 3 9 3" xfId="8926"/>
    <cellStyle name="표준 3 9 3 2" xfId="20174"/>
    <cellStyle name="표준 3 9 4" xfId="6488"/>
    <cellStyle name="표준 3 9 4 2" xfId="17736"/>
    <cellStyle name="표준 3 9 5" xfId="15298"/>
    <cellStyle name="표준 4" xfId="116"/>
    <cellStyle name="표준 4 10" xfId="3646"/>
    <cellStyle name="표준 4 10 2" xfId="5764"/>
    <cellStyle name="표준 4 10 2 2" xfId="10641"/>
    <cellStyle name="표준 4 10 2 2 2" xfId="21889"/>
    <cellStyle name="표준 4 10 2 3" xfId="8203"/>
    <cellStyle name="표준 4 10 2 3 2" xfId="19451"/>
    <cellStyle name="표준 4 10 2 4" xfId="17013"/>
    <cellStyle name="표준 4 11" xfId="3567"/>
    <cellStyle name="표준 4 11 2" xfId="8466"/>
    <cellStyle name="표준 4 11 2 2" xfId="19714"/>
    <cellStyle name="표준 4 11 3" xfId="6028"/>
    <cellStyle name="표준 4 11 3 2" xfId="17276"/>
    <cellStyle name="표준 4 11 4" xfId="14838"/>
    <cellStyle name="표준 4 12" xfId="8287"/>
    <cellStyle name="표준 4 12 2" xfId="19535"/>
    <cellStyle name="표준 4 13" xfId="5849"/>
    <cellStyle name="표준 4 13 2" xfId="17097"/>
    <cellStyle name="표준 4 14" xfId="10733"/>
    <cellStyle name="표준 4 14 2" xfId="21981"/>
    <cellStyle name="표준 4 15" xfId="3381"/>
    <cellStyle name="표준 4 15 2" xfId="14659"/>
    <cellStyle name="표준 4 2" xfId="202"/>
    <cellStyle name="표준 4 2 10" xfId="3635"/>
    <cellStyle name="표준 4 2 10 2" xfId="8534"/>
    <cellStyle name="표준 4 2 10 2 2" xfId="19782"/>
    <cellStyle name="표준 4 2 10 3" xfId="6096"/>
    <cellStyle name="표준 4 2 10 3 2" xfId="17344"/>
    <cellStyle name="표준 4 2 10 4" xfId="14906"/>
    <cellStyle name="표준 4 2 11" xfId="8355"/>
    <cellStyle name="표준 4 2 11 2" xfId="19603"/>
    <cellStyle name="표준 4 2 12" xfId="5917"/>
    <cellStyle name="표준 4 2 12 2" xfId="17165"/>
    <cellStyle name="표준 4 2 13" xfId="10801"/>
    <cellStyle name="표준 4 2 13 2" xfId="22049"/>
    <cellStyle name="표준 4 2 14" xfId="3449"/>
    <cellStyle name="표준 4 2 14 2" xfId="14727"/>
    <cellStyle name="표준 4 2 15" xfId="1875"/>
    <cellStyle name="표준 4 2 15 2" xfId="13302"/>
    <cellStyle name="표준 4 2 16" xfId="11842"/>
    <cellStyle name="표준 4 2 2" xfId="313"/>
    <cellStyle name="표준 4 2 2 10" xfId="1985"/>
    <cellStyle name="표준 4 2 2 10 2" xfId="13412"/>
    <cellStyle name="표준 4 2 2 11" xfId="11952"/>
    <cellStyle name="표준 4 2 2 2" xfId="597"/>
    <cellStyle name="표준 4 2 2 2 2" xfId="1685"/>
    <cellStyle name="표준 4 2 2 2 2 2" xfId="5465"/>
    <cellStyle name="표준 4 2 2 2 2 2 2" xfId="10342"/>
    <cellStyle name="표준 4 2 2 2 2 2 2 2" xfId="21590"/>
    <cellStyle name="표준 4 2 2 2 2 2 3" xfId="7904"/>
    <cellStyle name="표준 4 2 2 2 2 2 3 2" xfId="19152"/>
    <cellStyle name="표준 4 2 2 2 2 2 4" xfId="16714"/>
    <cellStyle name="표준 4 2 2 2 2 3" xfId="9352"/>
    <cellStyle name="표준 4 2 2 2 2 3 2" xfId="20600"/>
    <cellStyle name="표준 4 2 2 2 2 4" xfId="6914"/>
    <cellStyle name="표준 4 2 2 2 2 4 2" xfId="18162"/>
    <cellStyle name="표준 4 2 2 2 2 5" xfId="4473"/>
    <cellStyle name="표준 4 2 2 2 2 5 2" xfId="15724"/>
    <cellStyle name="표준 4 2 2 2 2 6" xfId="3297"/>
    <cellStyle name="표준 4 2 2 2 2 6 2" xfId="14575"/>
    <cellStyle name="표준 4 2 2 2 2 7" xfId="13115"/>
    <cellStyle name="표준 4 2 2 2 3" xfId="5012"/>
    <cellStyle name="표준 4 2 2 2 3 2" xfId="9889"/>
    <cellStyle name="표준 4 2 2 2 3 2 2" xfId="21137"/>
    <cellStyle name="표준 4 2 2 2 3 3" xfId="7451"/>
    <cellStyle name="표준 4 2 2 2 3 3 2" xfId="18699"/>
    <cellStyle name="표준 4 2 2 2 3 4" xfId="16261"/>
    <cellStyle name="표준 4 2 2 2 4" xfId="8899"/>
    <cellStyle name="표준 4 2 2 2 4 2" xfId="20147"/>
    <cellStyle name="표준 4 2 2 2 5" xfId="6461"/>
    <cellStyle name="표준 4 2 2 2 5 2" xfId="17709"/>
    <cellStyle name="표준 4 2 2 2 6" xfId="11069"/>
    <cellStyle name="표준 4 2 2 2 6 2" xfId="22316"/>
    <cellStyle name="표준 4 2 2 2 7" xfId="4020"/>
    <cellStyle name="표준 4 2 2 2 7 2" xfId="15271"/>
    <cellStyle name="표준 4 2 2 2 8" xfId="2269"/>
    <cellStyle name="표준 4 2 2 2 8 2" xfId="13696"/>
    <cellStyle name="표준 4 2 2 2 9" xfId="12236"/>
    <cellStyle name="표준 4 2 2 3" xfId="1300"/>
    <cellStyle name="표준 4 2 2 3 2" xfId="5238"/>
    <cellStyle name="표준 4 2 2 3 2 2" xfId="10115"/>
    <cellStyle name="표준 4 2 2 3 2 2 2" xfId="21363"/>
    <cellStyle name="표준 4 2 2 3 2 3" xfId="7677"/>
    <cellStyle name="표준 4 2 2 3 2 3 2" xfId="18925"/>
    <cellStyle name="표준 4 2 2 3 2 4" xfId="16487"/>
    <cellStyle name="표준 4 2 2 3 3" xfId="9125"/>
    <cellStyle name="표준 4 2 2 3 3 2" xfId="20373"/>
    <cellStyle name="표준 4 2 2 3 4" xfId="6687"/>
    <cellStyle name="표준 4 2 2 3 4 2" xfId="17935"/>
    <cellStyle name="표준 4 2 2 3 5" xfId="4246"/>
    <cellStyle name="표준 4 2 2 3 5 2" xfId="15497"/>
    <cellStyle name="표준 4 2 2 3 6" xfId="2921"/>
    <cellStyle name="표준 4 2 2 3 6 2" xfId="14199"/>
    <cellStyle name="표준 4 2 2 3 7" xfId="12739"/>
    <cellStyle name="표준 4 2 2 4" xfId="4786"/>
    <cellStyle name="표준 4 2 2 4 2" xfId="9663"/>
    <cellStyle name="표준 4 2 2 4 2 2" xfId="20911"/>
    <cellStyle name="표준 4 2 2 4 3" xfId="7225"/>
    <cellStyle name="표준 4 2 2 4 3 2" xfId="18473"/>
    <cellStyle name="표준 4 2 2 4 4" xfId="16035"/>
    <cellStyle name="표준 4 2 2 5" xfId="3794"/>
    <cellStyle name="표준 4 2 2 5 2" xfId="8673"/>
    <cellStyle name="표준 4 2 2 5 2 2" xfId="19921"/>
    <cellStyle name="표준 4 2 2 5 3" xfId="6235"/>
    <cellStyle name="표준 4 2 2 5 3 2" xfId="17483"/>
    <cellStyle name="표준 4 2 2 5 4" xfId="15045"/>
    <cellStyle name="표준 4 2 2 6" xfId="8438"/>
    <cellStyle name="표준 4 2 2 6 2" xfId="19686"/>
    <cellStyle name="표준 4 2 2 7" xfId="6000"/>
    <cellStyle name="표준 4 2 2 7 2" xfId="17248"/>
    <cellStyle name="표준 4 2 2 8" xfId="10884"/>
    <cellStyle name="표준 4 2 2 8 2" xfId="22132"/>
    <cellStyle name="표준 4 2 2 9" xfId="3538"/>
    <cellStyle name="표준 4 2 2 9 2" xfId="14810"/>
    <cellStyle name="표준 4 2 3" xfId="487"/>
    <cellStyle name="표준 4 2 3 2" xfId="1580"/>
    <cellStyle name="표준 4 2 3 2 2" xfId="5379"/>
    <cellStyle name="표준 4 2 3 2 2 2" xfId="10256"/>
    <cellStyle name="표준 4 2 3 2 2 2 2" xfId="21504"/>
    <cellStyle name="표준 4 2 3 2 2 3" xfId="7818"/>
    <cellStyle name="표준 4 2 3 2 2 3 2" xfId="19066"/>
    <cellStyle name="표준 4 2 3 2 2 4" xfId="16628"/>
    <cellStyle name="표준 4 2 3 2 3" xfId="9266"/>
    <cellStyle name="표준 4 2 3 2 3 2" xfId="20514"/>
    <cellStyle name="표준 4 2 3 2 4" xfId="6828"/>
    <cellStyle name="표준 4 2 3 2 4 2" xfId="18076"/>
    <cellStyle name="표준 4 2 3 2 5" xfId="4387"/>
    <cellStyle name="표준 4 2 3 2 5 2" xfId="15638"/>
    <cellStyle name="표준 4 2 3 2 6" xfId="3192"/>
    <cellStyle name="표준 4 2 3 2 6 2" xfId="14470"/>
    <cellStyle name="표준 4 2 3 2 7" xfId="13010"/>
    <cellStyle name="표준 4 2 3 3" xfId="1190"/>
    <cellStyle name="표준 4 2 3 3 2" xfId="9803"/>
    <cellStyle name="표준 4 2 3 3 2 2" xfId="21051"/>
    <cellStyle name="표준 4 2 3 3 3" xfId="7365"/>
    <cellStyle name="표준 4 2 3 3 3 2" xfId="18613"/>
    <cellStyle name="표준 4 2 3 3 4" xfId="4926"/>
    <cellStyle name="표준 4 2 3 3 4 2" xfId="16175"/>
    <cellStyle name="표준 4 2 3 3 5" xfId="2811"/>
    <cellStyle name="표준 4 2 3 3 5 2" xfId="14089"/>
    <cellStyle name="표준 4 2 3 3 6" xfId="12629"/>
    <cellStyle name="표준 4 2 3 4" xfId="8813"/>
    <cellStyle name="표준 4 2 3 4 2" xfId="20061"/>
    <cellStyle name="표준 4 2 3 5" xfId="6375"/>
    <cellStyle name="표준 4 2 3 5 2" xfId="17623"/>
    <cellStyle name="표준 4 2 3 6" xfId="10986"/>
    <cellStyle name="표준 4 2 3 6 2" xfId="22233"/>
    <cellStyle name="표준 4 2 3 7" xfId="3934"/>
    <cellStyle name="표준 4 2 3 7 2" xfId="15185"/>
    <cellStyle name="표준 4 2 3 8" xfId="2159"/>
    <cellStyle name="표준 4 2 3 8 2" xfId="13586"/>
    <cellStyle name="표준 4 2 3 9" xfId="12126"/>
    <cellStyle name="표준 4 2 4" xfId="377"/>
    <cellStyle name="표준 4 2 4 2" xfId="1757"/>
    <cellStyle name="표준 4 2 4 2 2" xfId="10029"/>
    <cellStyle name="표준 4 2 4 2 2 2" xfId="21277"/>
    <cellStyle name="표준 4 2 4 2 3" xfId="7591"/>
    <cellStyle name="표준 4 2 4 2 3 2" xfId="18839"/>
    <cellStyle name="표준 4 2 4 2 4" xfId="5152"/>
    <cellStyle name="표준 4 2 4 2 4 2" xfId="16401"/>
    <cellStyle name="표준 4 2 4 2 5" xfId="3369"/>
    <cellStyle name="표준 4 2 4 2 5 2" xfId="14647"/>
    <cellStyle name="표준 4 2 4 2 6" xfId="13187"/>
    <cellStyle name="표준 4 2 4 3" xfId="1375"/>
    <cellStyle name="표준 4 2 4 3 2" xfId="9039"/>
    <cellStyle name="표준 4 2 4 3 2 2" xfId="20287"/>
    <cellStyle name="표준 4 2 4 3 3" xfId="2996"/>
    <cellStyle name="표준 4 2 4 3 3 2" xfId="14274"/>
    <cellStyle name="표준 4 2 4 3 4" xfId="12814"/>
    <cellStyle name="표준 4 2 4 4" xfId="6601"/>
    <cellStyle name="표준 4 2 4 4 2" xfId="17849"/>
    <cellStyle name="표준 4 2 4 5" xfId="4160"/>
    <cellStyle name="표준 4 2 4 5 2" xfId="15411"/>
    <cellStyle name="표준 4 2 4 6" xfId="2049"/>
    <cellStyle name="표준 4 2 4 6 2" xfId="13476"/>
    <cellStyle name="표준 4 2 4 7" xfId="12016"/>
    <cellStyle name="표준 4 2 5" xfId="812"/>
    <cellStyle name="표준 4 2 5 2" xfId="1465"/>
    <cellStyle name="표준 4 2 5 2 2" xfId="10436"/>
    <cellStyle name="표준 4 2 5 2 2 2" xfId="21684"/>
    <cellStyle name="표준 4 2 5 2 3" xfId="7998"/>
    <cellStyle name="표준 4 2 5 2 3 2" xfId="19246"/>
    <cellStyle name="표준 4 2 5 2 4" xfId="5559"/>
    <cellStyle name="표준 4 2 5 2 4 2" xfId="16808"/>
    <cellStyle name="표준 4 2 5 2 5" xfId="3079"/>
    <cellStyle name="표준 4 2 5 2 5 2" xfId="14357"/>
    <cellStyle name="표준 4 2 5 2 6" xfId="12897"/>
    <cellStyle name="표준 4 2 5 3" xfId="9446"/>
    <cellStyle name="표준 4 2 5 3 2" xfId="20694"/>
    <cellStyle name="표준 4 2 5 4" xfId="7008"/>
    <cellStyle name="표준 4 2 5 4 2" xfId="18256"/>
    <cellStyle name="표준 4 2 5 5" xfId="4569"/>
    <cellStyle name="표준 4 2 5 5 2" xfId="15818"/>
    <cellStyle name="표준 4 2 5 6" xfId="2439"/>
    <cellStyle name="표준 4 2 5 6 2" xfId="13834"/>
    <cellStyle name="표준 4 2 5 7" xfId="12374"/>
    <cellStyle name="표준 4 2 6" xfId="1080"/>
    <cellStyle name="표준 4 2 6 2" xfId="9577"/>
    <cellStyle name="표준 4 2 6 2 2" xfId="20825"/>
    <cellStyle name="표준 4 2 6 3" xfId="7139"/>
    <cellStyle name="표준 4 2 6 3 2" xfId="18387"/>
    <cellStyle name="표준 4 2 6 4" xfId="4700"/>
    <cellStyle name="표준 4 2 6 4 2" xfId="15949"/>
    <cellStyle name="표준 4 2 6 5" xfId="2701"/>
    <cellStyle name="표준 4 2 6 5 2" xfId="13979"/>
    <cellStyle name="표준 4 2 6 6" xfId="12519"/>
    <cellStyle name="표준 4 2 7" xfId="1016"/>
    <cellStyle name="표준 4 2 7 2" xfId="10520"/>
    <cellStyle name="표준 4 2 7 2 2" xfId="21768"/>
    <cellStyle name="표준 4 2 7 3" xfId="8082"/>
    <cellStyle name="표준 4 2 7 3 2" xfId="19330"/>
    <cellStyle name="표준 4 2 7 4" xfId="5643"/>
    <cellStyle name="표준 4 2 7 4 2" xfId="16892"/>
    <cellStyle name="표준 4 2 7 5" xfId="2637"/>
    <cellStyle name="표준 4 2 7 5 2" xfId="13915"/>
    <cellStyle name="표준 4 2 7 6" xfId="12455"/>
    <cellStyle name="표준 4 2 8" xfId="5749"/>
    <cellStyle name="표준 4 2 8 2" xfId="10626"/>
    <cellStyle name="표준 4 2 8 2 2" xfId="21874"/>
    <cellStyle name="표준 4 2 8 3" xfId="8188"/>
    <cellStyle name="표준 4 2 8 3 2" xfId="19436"/>
    <cellStyle name="표준 4 2 8 4" xfId="16998"/>
    <cellStyle name="표준 4 2 9" xfId="5832"/>
    <cellStyle name="표준 4 2 9 2" xfId="10709"/>
    <cellStyle name="표준 4 2 9 2 2" xfId="21957"/>
    <cellStyle name="표준 4 2 9 3" xfId="8271"/>
    <cellStyle name="표준 4 2 9 3 2" xfId="19519"/>
    <cellStyle name="표준 4 2 9 4" xfId="17081"/>
    <cellStyle name="표준 4 3" xfId="741"/>
    <cellStyle name="표준 4 4" xfId="829"/>
    <cellStyle name="표준 4 4 10" xfId="3643"/>
    <cellStyle name="표준 4 4 10 2" xfId="8542"/>
    <cellStyle name="표준 4 4 10 2 2" xfId="19790"/>
    <cellStyle name="표준 4 4 10 3" xfId="6104"/>
    <cellStyle name="표준 4 4 10 3 2" xfId="17352"/>
    <cellStyle name="표준 4 4 10 4" xfId="14914"/>
    <cellStyle name="표준 4 4 11" xfId="8363"/>
    <cellStyle name="표준 4 4 11 2" xfId="19611"/>
    <cellStyle name="표준 4 4 12" xfId="5925"/>
    <cellStyle name="표준 4 4 12 2" xfId="17173"/>
    <cellStyle name="표준 4 4 13" xfId="10809"/>
    <cellStyle name="표준 4 4 13 2" xfId="22057"/>
    <cellStyle name="표준 4 4 14" xfId="3463"/>
    <cellStyle name="표준 4 4 14 2" xfId="14735"/>
    <cellStyle name="표준 4 4 15" xfId="2453"/>
    <cellStyle name="표준 4 4 15 2" xfId="13842"/>
    <cellStyle name="표준 4 4 16" xfId="12382"/>
    <cellStyle name="표준 4 4 2" xfId="1475"/>
    <cellStyle name="표준 4 4 2 10" xfId="3087"/>
    <cellStyle name="표준 4 4 2 10 2" xfId="14365"/>
    <cellStyle name="표준 4 4 2 11" xfId="12905"/>
    <cellStyle name="표준 4 4 2 2" xfId="4028"/>
    <cellStyle name="표준 4 4 2 2 2" xfId="4481"/>
    <cellStyle name="표준 4 4 2 2 2 2" xfId="5473"/>
    <cellStyle name="표준 4 4 2 2 2 2 2" xfId="10350"/>
    <cellStyle name="표준 4 4 2 2 2 2 2 2" xfId="21598"/>
    <cellStyle name="표준 4 4 2 2 2 2 3" xfId="7912"/>
    <cellStyle name="표준 4 4 2 2 2 2 3 2" xfId="19160"/>
    <cellStyle name="표준 4 4 2 2 2 2 4" xfId="16722"/>
    <cellStyle name="표준 4 4 2 2 2 3" xfId="9360"/>
    <cellStyle name="표준 4 4 2 2 2 3 2" xfId="20608"/>
    <cellStyle name="표준 4 4 2 2 2 4" xfId="6922"/>
    <cellStyle name="표준 4 4 2 2 2 4 2" xfId="18170"/>
    <cellStyle name="표준 4 4 2 2 2 5" xfId="15732"/>
    <cellStyle name="표준 4 4 2 2 3" xfId="5020"/>
    <cellStyle name="표준 4 4 2 2 3 2" xfId="9897"/>
    <cellStyle name="표준 4 4 2 2 3 2 2" xfId="21145"/>
    <cellStyle name="표준 4 4 2 2 3 3" xfId="7459"/>
    <cellStyle name="표준 4 4 2 2 3 3 2" xfId="18707"/>
    <cellStyle name="표준 4 4 2 2 3 4" xfId="16269"/>
    <cellStyle name="표준 4 4 2 2 4" xfId="8907"/>
    <cellStyle name="표준 4 4 2 2 4 2" xfId="20155"/>
    <cellStyle name="표준 4 4 2 2 5" xfId="6469"/>
    <cellStyle name="표준 4 4 2 2 5 2" xfId="17717"/>
    <cellStyle name="표준 4 4 2 2 6" xfId="11077"/>
    <cellStyle name="표준 4 4 2 2 6 2" xfId="22324"/>
    <cellStyle name="표준 4 4 2 2 7" xfId="15279"/>
    <cellStyle name="표준 4 4 2 3" xfId="4254"/>
    <cellStyle name="표준 4 4 2 3 2" xfId="5246"/>
    <cellStyle name="표준 4 4 2 3 2 2" xfId="10123"/>
    <cellStyle name="표준 4 4 2 3 2 2 2" xfId="21371"/>
    <cellStyle name="표준 4 4 2 3 2 3" xfId="7685"/>
    <cellStyle name="표준 4 4 2 3 2 3 2" xfId="18933"/>
    <cellStyle name="표준 4 4 2 3 2 4" xfId="16495"/>
    <cellStyle name="표준 4 4 2 3 3" xfId="9133"/>
    <cellStyle name="표준 4 4 2 3 3 2" xfId="20381"/>
    <cellStyle name="표준 4 4 2 3 4" xfId="6695"/>
    <cellStyle name="표준 4 4 2 3 4 2" xfId="17943"/>
    <cellStyle name="표준 4 4 2 3 5" xfId="15505"/>
    <cellStyle name="표준 4 4 2 4" xfId="4794"/>
    <cellStyle name="표준 4 4 2 4 2" xfId="9671"/>
    <cellStyle name="표준 4 4 2 4 2 2" xfId="20919"/>
    <cellStyle name="표준 4 4 2 4 3" xfId="7233"/>
    <cellStyle name="표준 4 4 2 4 3 2" xfId="18481"/>
    <cellStyle name="표준 4 4 2 4 4" xfId="16043"/>
    <cellStyle name="표준 4 4 2 5" xfId="3802"/>
    <cellStyle name="표준 4 4 2 5 2" xfId="8681"/>
    <cellStyle name="표준 4 4 2 5 2 2" xfId="19929"/>
    <cellStyle name="표준 4 4 2 5 3" xfId="6243"/>
    <cellStyle name="표준 4 4 2 5 3 2" xfId="17491"/>
    <cellStyle name="표준 4 4 2 5 4" xfId="15053"/>
    <cellStyle name="표준 4 4 2 6" xfId="8446"/>
    <cellStyle name="표준 4 4 2 6 2" xfId="19694"/>
    <cellStyle name="표준 4 4 2 7" xfId="6008"/>
    <cellStyle name="표준 4 4 2 7 2" xfId="17256"/>
    <cellStyle name="표준 4 4 2 8" xfId="10892"/>
    <cellStyle name="표준 4 4 2 8 2" xfId="22140"/>
    <cellStyle name="표준 4 4 2 9" xfId="3546"/>
    <cellStyle name="표준 4 4 2 9 2" xfId="14818"/>
    <cellStyle name="표준 4 4 3" xfId="1383"/>
    <cellStyle name="표준 4 4 3 2" xfId="4395"/>
    <cellStyle name="표준 4 4 3 2 2" xfId="5387"/>
    <cellStyle name="표준 4 4 3 2 2 2" xfId="10264"/>
    <cellStyle name="표준 4 4 3 2 2 2 2" xfId="21512"/>
    <cellStyle name="표준 4 4 3 2 2 3" xfId="7826"/>
    <cellStyle name="표준 4 4 3 2 2 3 2" xfId="19074"/>
    <cellStyle name="표준 4 4 3 2 2 4" xfId="16636"/>
    <cellStyle name="표준 4 4 3 2 3" xfId="9274"/>
    <cellStyle name="표준 4 4 3 2 3 2" xfId="20522"/>
    <cellStyle name="표준 4 4 3 2 4" xfId="6836"/>
    <cellStyle name="표준 4 4 3 2 4 2" xfId="18084"/>
    <cellStyle name="표준 4 4 3 2 5" xfId="15646"/>
    <cellStyle name="표준 4 4 3 3" xfId="4934"/>
    <cellStyle name="표준 4 4 3 3 2" xfId="9811"/>
    <cellStyle name="표준 4 4 3 3 2 2" xfId="21059"/>
    <cellStyle name="표준 4 4 3 3 3" xfId="7373"/>
    <cellStyle name="표준 4 4 3 3 3 2" xfId="18621"/>
    <cellStyle name="표준 4 4 3 3 4" xfId="16183"/>
    <cellStyle name="표준 4 4 3 4" xfId="8821"/>
    <cellStyle name="표준 4 4 3 4 2" xfId="20069"/>
    <cellStyle name="표준 4 4 3 5" xfId="6383"/>
    <cellStyle name="표준 4 4 3 5 2" xfId="17631"/>
    <cellStyle name="표준 4 4 3 6" xfId="10994"/>
    <cellStyle name="표준 4 4 3 6 2" xfId="22241"/>
    <cellStyle name="표준 4 4 3 7" xfId="3942"/>
    <cellStyle name="표준 4 4 3 7 2" xfId="15193"/>
    <cellStyle name="표준 4 4 3 8" xfId="3004"/>
    <cellStyle name="표준 4 4 3 8 2" xfId="14282"/>
    <cellStyle name="표준 4 4 3 9" xfId="12822"/>
    <cellStyle name="표준 4 4 4" xfId="4168"/>
    <cellStyle name="표준 4 4 4 2" xfId="5160"/>
    <cellStyle name="표준 4 4 4 2 2" xfId="10037"/>
    <cellStyle name="표준 4 4 4 2 2 2" xfId="21285"/>
    <cellStyle name="표준 4 4 4 2 3" xfId="7599"/>
    <cellStyle name="표준 4 4 4 2 3 2" xfId="18847"/>
    <cellStyle name="표준 4 4 4 2 4" xfId="16409"/>
    <cellStyle name="표준 4 4 4 3" xfId="9047"/>
    <cellStyle name="표준 4 4 4 3 2" xfId="20295"/>
    <cellStyle name="표준 4 4 4 4" xfId="6609"/>
    <cellStyle name="표준 4 4 4 4 2" xfId="17857"/>
    <cellStyle name="표준 4 4 4 5" xfId="15419"/>
    <cellStyle name="표준 4 4 5" xfId="4577"/>
    <cellStyle name="표준 4 4 5 2" xfId="5567"/>
    <cellStyle name="표준 4 4 5 2 2" xfId="10444"/>
    <cellStyle name="표준 4 4 5 2 2 2" xfId="21692"/>
    <cellStyle name="표준 4 4 5 2 3" xfId="8006"/>
    <cellStyle name="표준 4 4 5 2 3 2" xfId="19254"/>
    <cellStyle name="표준 4 4 5 2 4" xfId="16816"/>
    <cellStyle name="표준 4 4 5 3" xfId="9454"/>
    <cellStyle name="표준 4 4 5 3 2" xfId="20702"/>
    <cellStyle name="표준 4 4 5 4" xfId="7016"/>
    <cellStyle name="표준 4 4 5 4 2" xfId="18264"/>
    <cellStyle name="표준 4 4 5 5" xfId="15826"/>
    <cellStyle name="표준 4 4 6" xfId="4708"/>
    <cellStyle name="표준 4 4 6 2" xfId="9585"/>
    <cellStyle name="표준 4 4 6 2 2" xfId="20833"/>
    <cellStyle name="표준 4 4 6 3" xfId="7147"/>
    <cellStyle name="표준 4 4 6 3 2" xfId="18395"/>
    <cellStyle name="표준 4 4 6 4" xfId="15957"/>
    <cellStyle name="표준 4 4 7" xfId="5651"/>
    <cellStyle name="표준 4 4 7 2" xfId="10528"/>
    <cellStyle name="표준 4 4 7 2 2" xfId="21776"/>
    <cellStyle name="표준 4 4 7 3" xfId="8090"/>
    <cellStyle name="표준 4 4 7 3 2" xfId="19338"/>
    <cellStyle name="표준 4 4 7 4" xfId="16900"/>
    <cellStyle name="표준 4 4 8" xfId="5757"/>
    <cellStyle name="표준 4 4 8 2" xfId="10634"/>
    <cellStyle name="표준 4 4 8 2 2" xfId="21882"/>
    <cellStyle name="표준 4 4 8 3" xfId="8196"/>
    <cellStyle name="표준 4 4 8 3 2" xfId="19444"/>
    <cellStyle name="표준 4 4 8 4" xfId="17006"/>
    <cellStyle name="표준 4 4 9" xfId="5840"/>
    <cellStyle name="표준 4 4 9 2" xfId="10717"/>
    <cellStyle name="표준 4 4 9 2 2" xfId="21965"/>
    <cellStyle name="표준 4 4 9 3" xfId="8279"/>
    <cellStyle name="표준 4 4 9 3 2" xfId="19527"/>
    <cellStyle name="표준 4 4 9 4" xfId="17089"/>
    <cellStyle name="표준 4 5" xfId="731"/>
    <cellStyle name="표준 4 5 10" xfId="2363"/>
    <cellStyle name="표준 4 5 10 2" xfId="13766"/>
    <cellStyle name="표준 4 5 11" xfId="12306"/>
    <cellStyle name="표준 4 5 2" xfId="1692"/>
    <cellStyle name="표준 4 5 2 2" xfId="4319"/>
    <cellStyle name="표준 4 5 2 2 2" xfId="5311"/>
    <cellStyle name="표준 4 5 2 2 2 2" xfId="10188"/>
    <cellStyle name="표준 4 5 2 2 2 2 2" xfId="21436"/>
    <cellStyle name="표준 4 5 2 2 2 3" xfId="7750"/>
    <cellStyle name="표준 4 5 2 2 2 3 2" xfId="18998"/>
    <cellStyle name="표준 4 5 2 2 2 4" xfId="16560"/>
    <cellStyle name="표준 4 5 2 2 3" xfId="9198"/>
    <cellStyle name="표준 4 5 2 2 3 2" xfId="20446"/>
    <cellStyle name="표준 4 5 2 2 4" xfId="6760"/>
    <cellStyle name="표준 4 5 2 2 4 2" xfId="18008"/>
    <cellStyle name="표준 4 5 2 2 5" xfId="15570"/>
    <cellStyle name="표준 4 5 2 3" xfId="4858"/>
    <cellStyle name="표준 4 5 2 3 2" xfId="9735"/>
    <cellStyle name="표준 4 5 2 3 2 2" xfId="20983"/>
    <cellStyle name="표준 4 5 2 3 3" xfId="7297"/>
    <cellStyle name="표준 4 5 2 3 3 2" xfId="18545"/>
    <cellStyle name="표준 4 5 2 3 4" xfId="16107"/>
    <cellStyle name="표준 4 5 2 4" xfId="8745"/>
    <cellStyle name="표준 4 5 2 4 2" xfId="19993"/>
    <cellStyle name="표준 4 5 2 5" xfId="6307"/>
    <cellStyle name="표준 4 5 2 5 2" xfId="17555"/>
    <cellStyle name="표준 4 5 2 6" xfId="11001"/>
    <cellStyle name="표준 4 5 2 6 2" xfId="22248"/>
    <cellStyle name="표준 4 5 2 7" xfId="3866"/>
    <cellStyle name="표준 4 5 2 7 2" xfId="15117"/>
    <cellStyle name="표준 4 5 2 8" xfId="3304"/>
    <cellStyle name="표준 4 5 2 8 2" xfId="14582"/>
    <cellStyle name="표준 4 5 2 9" xfId="13122"/>
    <cellStyle name="표준 4 5 3" xfId="1307"/>
    <cellStyle name="표준 4 5 3 2" xfId="5084"/>
    <cellStyle name="표준 4 5 3 2 2" xfId="9961"/>
    <cellStyle name="표준 4 5 3 2 2 2" xfId="21209"/>
    <cellStyle name="표준 4 5 3 2 3" xfId="7523"/>
    <cellStyle name="표준 4 5 3 2 3 2" xfId="18771"/>
    <cellStyle name="표준 4 5 3 2 4" xfId="16333"/>
    <cellStyle name="표준 4 5 3 3" xfId="8971"/>
    <cellStyle name="표준 4 5 3 3 2" xfId="20219"/>
    <cellStyle name="표준 4 5 3 4" xfId="6533"/>
    <cellStyle name="표준 4 5 3 4 2" xfId="17781"/>
    <cellStyle name="표준 4 5 3 5" xfId="4092"/>
    <cellStyle name="표준 4 5 3 5 2" xfId="15343"/>
    <cellStyle name="표준 4 5 3 6" xfId="2928"/>
    <cellStyle name="표준 4 5 3 6 2" xfId="14206"/>
    <cellStyle name="표준 4 5 3 7" xfId="12746"/>
    <cellStyle name="표준 4 5 4" xfId="4632"/>
    <cellStyle name="표준 4 5 4 2" xfId="9509"/>
    <cellStyle name="표준 4 5 4 2 2" xfId="20757"/>
    <cellStyle name="표준 4 5 4 3" xfId="7071"/>
    <cellStyle name="표준 4 5 4 3 2" xfId="18319"/>
    <cellStyle name="표준 4 5 4 4" xfId="15881"/>
    <cellStyle name="표준 4 5 5" xfId="3676"/>
    <cellStyle name="표준 4 5 5 2" xfId="8556"/>
    <cellStyle name="표준 4 5 5 2 2" xfId="19804"/>
    <cellStyle name="표준 4 5 5 3" xfId="6118"/>
    <cellStyle name="표준 4 5 5 3 2" xfId="17366"/>
    <cellStyle name="표준 4 5 5 4" xfId="14928"/>
    <cellStyle name="표준 4 5 6" xfId="8370"/>
    <cellStyle name="표준 4 5 6 2" xfId="19618"/>
    <cellStyle name="표준 4 5 7" xfId="5932"/>
    <cellStyle name="표준 4 5 7 2" xfId="17180"/>
    <cellStyle name="표준 4 5 8" xfId="10816"/>
    <cellStyle name="표준 4 5 8 2" xfId="22064"/>
    <cellStyle name="표준 4 5 9" xfId="3470"/>
    <cellStyle name="표준 4 5 9 2" xfId="14742"/>
    <cellStyle name="표준 4 6" xfId="629"/>
    <cellStyle name="표준 4 6 2" xfId="1396"/>
    <cellStyle name="표준 4 6 2 2" xfId="4403"/>
    <cellStyle name="표준 4 6 2 2 2" xfId="5395"/>
    <cellStyle name="표준 4 6 2 2 2 2" xfId="10272"/>
    <cellStyle name="표준 4 6 2 2 2 2 2" xfId="21520"/>
    <cellStyle name="표준 4 6 2 2 2 3" xfId="7834"/>
    <cellStyle name="표준 4 6 2 2 2 3 2" xfId="19082"/>
    <cellStyle name="표준 4 6 2 2 2 4" xfId="16644"/>
    <cellStyle name="표준 4 6 2 2 3" xfId="9282"/>
    <cellStyle name="표준 4 6 2 2 3 2" xfId="20530"/>
    <cellStyle name="표준 4 6 2 2 4" xfId="6844"/>
    <cellStyle name="표준 4 6 2 2 4 2" xfId="18092"/>
    <cellStyle name="표준 4 6 2 2 5" xfId="15654"/>
    <cellStyle name="표준 4 6 2 3" xfId="4942"/>
    <cellStyle name="표준 4 6 2 3 2" xfId="9819"/>
    <cellStyle name="표준 4 6 2 3 2 2" xfId="21067"/>
    <cellStyle name="표준 4 6 2 3 3" xfId="7381"/>
    <cellStyle name="표준 4 6 2 3 3 2" xfId="18629"/>
    <cellStyle name="표준 4 6 2 3 4" xfId="16191"/>
    <cellStyle name="표준 4 6 2 4" xfId="8829"/>
    <cellStyle name="표준 4 6 2 4 2" xfId="20077"/>
    <cellStyle name="표준 4 6 2 5" xfId="6391"/>
    <cellStyle name="표준 4 6 2 5 2" xfId="17639"/>
    <cellStyle name="표준 4 6 2 6" xfId="3950"/>
    <cellStyle name="표준 4 6 2 6 2" xfId="15201"/>
    <cellStyle name="표준 4 6 2 7" xfId="3011"/>
    <cellStyle name="표준 4 6 2 7 2" xfId="14289"/>
    <cellStyle name="표준 4 6 2 8" xfId="12829"/>
    <cellStyle name="표준 4 6 3" xfId="4176"/>
    <cellStyle name="표준 4 6 3 2" xfId="5168"/>
    <cellStyle name="표준 4 6 3 2 2" xfId="10045"/>
    <cellStyle name="표준 4 6 3 2 2 2" xfId="21293"/>
    <cellStyle name="표준 4 6 3 2 3" xfId="7607"/>
    <cellStyle name="표준 4 6 3 2 3 2" xfId="18855"/>
    <cellStyle name="표준 4 6 3 2 4" xfId="16417"/>
    <cellStyle name="표준 4 6 3 3" xfId="9055"/>
    <cellStyle name="표준 4 6 3 3 2" xfId="20303"/>
    <cellStyle name="표준 4 6 3 4" xfId="6617"/>
    <cellStyle name="표준 4 6 3 4 2" xfId="17865"/>
    <cellStyle name="표준 4 6 3 5" xfId="15427"/>
    <cellStyle name="표준 4 6 4" xfId="4716"/>
    <cellStyle name="표준 4 6 4 2" xfId="9593"/>
    <cellStyle name="표준 4 6 4 2 2" xfId="20841"/>
    <cellStyle name="표준 4 6 4 3" xfId="7155"/>
    <cellStyle name="표준 4 6 4 3 2" xfId="18403"/>
    <cellStyle name="표준 4 6 4 4" xfId="15965"/>
    <cellStyle name="표준 4 6 5" xfId="8603"/>
    <cellStyle name="표준 4 6 5 2" xfId="19851"/>
    <cellStyle name="표준 4 6 6" xfId="6165"/>
    <cellStyle name="표준 4 6 6 2" xfId="17413"/>
    <cellStyle name="표준 4 6 7" xfId="10918"/>
    <cellStyle name="표준 4 6 7 2" xfId="22165"/>
    <cellStyle name="표준 4 6 8" xfId="3724"/>
    <cellStyle name="표준 4 6 8 2" xfId="14975"/>
    <cellStyle name="표준 4 7" xfId="944"/>
    <cellStyle name="표준 4 7 2" xfId="5491"/>
    <cellStyle name="표준 4 7 2 2" xfId="10368"/>
    <cellStyle name="표준 4 7 2 2 2" xfId="21616"/>
    <cellStyle name="표준 4 7 2 3" xfId="7930"/>
    <cellStyle name="표준 4 7 2 3 2" xfId="19178"/>
    <cellStyle name="표준 4 7 2 4" xfId="16740"/>
    <cellStyle name="표준 4 7 3" xfId="9378"/>
    <cellStyle name="표준 4 7 3 2" xfId="20626"/>
    <cellStyle name="표준 4 7 4" xfId="6940"/>
    <cellStyle name="표준 4 7 4 2" xfId="18188"/>
    <cellStyle name="표준 4 7 5" xfId="4501"/>
    <cellStyle name="표준 4 7 5 2" xfId="15750"/>
    <cellStyle name="표준 4 7 6" xfId="2567"/>
    <cellStyle name="표준 4 7 6 2" xfId="13845"/>
    <cellStyle name="표준 4 7 7" xfId="12385"/>
    <cellStyle name="표준 4 8" xfId="5575"/>
    <cellStyle name="표준 4 8 2" xfId="10452"/>
    <cellStyle name="표준 4 8 2 2" xfId="21700"/>
    <cellStyle name="표준 4 8 3" xfId="8014"/>
    <cellStyle name="표준 4 8 3 2" xfId="19262"/>
    <cellStyle name="표준 4 8 4" xfId="16824"/>
    <cellStyle name="표준 4 9" xfId="5681"/>
    <cellStyle name="표준 4 9 2" xfId="10558"/>
    <cellStyle name="표준 4 9 2 2" xfId="21806"/>
    <cellStyle name="표준 4 9 3" xfId="8120"/>
    <cellStyle name="표준 4 9 3 2" xfId="19368"/>
    <cellStyle name="표준 4 9 4" xfId="16930"/>
    <cellStyle name="표준 5" xfId="115"/>
    <cellStyle name="표준 5 2" xfId="187"/>
    <cellStyle name="표준 5 2 2" xfId="740"/>
    <cellStyle name="표준 5 2 3" xfId="706"/>
    <cellStyle name="표준 5 2 3 2" xfId="2338"/>
    <cellStyle name="표준 5 2 3 2 2" xfId="13751"/>
    <cellStyle name="표준 5 2 3 3" xfId="12291"/>
    <cellStyle name="표준 5 3" xfId="742"/>
    <cellStyle name="표준 5 4" xfId="628"/>
    <cellStyle name="표준 5 4 2" xfId="3657"/>
    <cellStyle name="표준 5 4 3" xfId="2300"/>
    <cellStyle name="표준 5 4 3 2" xfId="13719"/>
    <cellStyle name="표준 5 4 4" xfId="12259"/>
    <cellStyle name="표준 6" xfId="203"/>
    <cellStyle name="표준 6 10" xfId="3568"/>
    <cellStyle name="표준 6 10 2" xfId="8467"/>
    <cellStyle name="표준 6 10 2 2" xfId="19715"/>
    <cellStyle name="표준 6 10 3" xfId="6029"/>
    <cellStyle name="표준 6 10 3 2" xfId="17277"/>
    <cellStyle name="표준 6 10 4" xfId="14839"/>
    <cellStyle name="표준 6 11" xfId="8288"/>
    <cellStyle name="표준 6 11 2" xfId="19536"/>
    <cellStyle name="표준 6 12" xfId="5850"/>
    <cellStyle name="표준 6 12 2" xfId="17098"/>
    <cellStyle name="표준 6 13" xfId="10734"/>
    <cellStyle name="표준 6 13 2" xfId="21982"/>
    <cellStyle name="표준 6 14" xfId="3382"/>
    <cellStyle name="표준 6 14 2" xfId="14660"/>
    <cellStyle name="표준 6 2" xfId="732"/>
    <cellStyle name="표준 6 2 10" xfId="2364"/>
    <cellStyle name="표준 6 2 10 2" xfId="13767"/>
    <cellStyle name="표준 6 2 11" xfId="12307"/>
    <cellStyle name="표준 6 2 2" xfId="1693"/>
    <cellStyle name="표준 6 2 2 2" xfId="4404"/>
    <cellStyle name="표준 6 2 2 2 2" xfId="5396"/>
    <cellStyle name="표준 6 2 2 2 2 2" xfId="10273"/>
    <cellStyle name="표준 6 2 2 2 2 2 2" xfId="21521"/>
    <cellStyle name="표준 6 2 2 2 2 3" xfId="7835"/>
    <cellStyle name="표준 6 2 2 2 2 3 2" xfId="19083"/>
    <cellStyle name="표준 6 2 2 2 2 4" xfId="16645"/>
    <cellStyle name="표준 6 2 2 2 3" xfId="9283"/>
    <cellStyle name="표준 6 2 2 2 3 2" xfId="20531"/>
    <cellStyle name="표준 6 2 2 2 4" xfId="6845"/>
    <cellStyle name="표준 6 2 2 2 4 2" xfId="18093"/>
    <cellStyle name="표준 6 2 2 2 5" xfId="15655"/>
    <cellStyle name="표준 6 2 2 3" xfId="4943"/>
    <cellStyle name="표준 6 2 2 3 2" xfId="9820"/>
    <cellStyle name="표준 6 2 2 3 2 2" xfId="21068"/>
    <cellStyle name="표준 6 2 2 3 3" xfId="7382"/>
    <cellStyle name="표준 6 2 2 3 3 2" xfId="18630"/>
    <cellStyle name="표준 6 2 2 3 4" xfId="16192"/>
    <cellStyle name="표준 6 2 2 4" xfId="8830"/>
    <cellStyle name="표준 6 2 2 4 2" xfId="20078"/>
    <cellStyle name="표준 6 2 2 5" xfId="6392"/>
    <cellStyle name="표준 6 2 2 5 2" xfId="17640"/>
    <cellStyle name="표준 6 2 2 6" xfId="11002"/>
    <cellStyle name="표준 6 2 2 6 2" xfId="22249"/>
    <cellStyle name="표준 6 2 2 7" xfId="3951"/>
    <cellStyle name="표준 6 2 2 7 2" xfId="15202"/>
    <cellStyle name="표준 6 2 2 8" xfId="3305"/>
    <cellStyle name="표준 6 2 2 8 2" xfId="14583"/>
    <cellStyle name="표준 6 2 2 9" xfId="13123"/>
    <cellStyle name="표준 6 2 3" xfId="1308"/>
    <cellStyle name="표준 6 2 3 2" xfId="5169"/>
    <cellStyle name="표준 6 2 3 2 2" xfId="10046"/>
    <cellStyle name="표준 6 2 3 2 2 2" xfId="21294"/>
    <cellStyle name="표준 6 2 3 2 3" xfId="7608"/>
    <cellStyle name="표준 6 2 3 2 3 2" xfId="18856"/>
    <cellStyle name="표준 6 2 3 2 4" xfId="16418"/>
    <cellStyle name="표준 6 2 3 3" xfId="9056"/>
    <cellStyle name="표준 6 2 3 3 2" xfId="20304"/>
    <cellStyle name="표준 6 2 3 4" xfId="6618"/>
    <cellStyle name="표준 6 2 3 4 2" xfId="17866"/>
    <cellStyle name="표준 6 2 3 5" xfId="4177"/>
    <cellStyle name="표준 6 2 3 5 2" xfId="15428"/>
    <cellStyle name="표준 6 2 3 6" xfId="2929"/>
    <cellStyle name="표준 6 2 3 6 2" xfId="14207"/>
    <cellStyle name="표준 6 2 3 7" xfId="12747"/>
    <cellStyle name="표준 6 2 4" xfId="4717"/>
    <cellStyle name="표준 6 2 4 2" xfId="9594"/>
    <cellStyle name="표준 6 2 4 2 2" xfId="20842"/>
    <cellStyle name="표준 6 2 4 3" xfId="7156"/>
    <cellStyle name="표준 6 2 4 3 2" xfId="18404"/>
    <cellStyle name="표준 6 2 4 4" xfId="15966"/>
    <cellStyle name="표준 6 2 5" xfId="3725"/>
    <cellStyle name="표준 6 2 5 2" xfId="8604"/>
    <cellStyle name="표준 6 2 5 2 2" xfId="19852"/>
    <cellStyle name="표준 6 2 5 3" xfId="6166"/>
    <cellStyle name="표준 6 2 5 3 2" xfId="17414"/>
    <cellStyle name="표준 6 2 5 4" xfId="14976"/>
    <cellStyle name="표준 6 2 6" xfId="8371"/>
    <cellStyle name="표준 6 2 6 2" xfId="19619"/>
    <cellStyle name="표준 6 2 7" xfId="5933"/>
    <cellStyle name="표준 6 2 7 2" xfId="17181"/>
    <cellStyle name="표준 6 2 8" xfId="10817"/>
    <cellStyle name="표준 6 2 8 2" xfId="22065"/>
    <cellStyle name="표준 6 2 9" xfId="3471"/>
    <cellStyle name="표준 6 2 9 2" xfId="14743"/>
    <cellStyle name="표준 6 3" xfId="1397"/>
    <cellStyle name="표준 6 3 2" xfId="4320"/>
    <cellStyle name="표준 6 3 2 2" xfId="5312"/>
    <cellStyle name="표준 6 3 2 2 2" xfId="10189"/>
    <cellStyle name="표준 6 3 2 2 2 2" xfId="21437"/>
    <cellStyle name="표준 6 3 2 2 3" xfId="7751"/>
    <cellStyle name="표준 6 3 2 2 3 2" xfId="18999"/>
    <cellStyle name="표준 6 3 2 2 4" xfId="16561"/>
    <cellStyle name="표준 6 3 2 3" xfId="9199"/>
    <cellStyle name="표준 6 3 2 3 2" xfId="20447"/>
    <cellStyle name="표준 6 3 2 4" xfId="6761"/>
    <cellStyle name="표준 6 3 2 4 2" xfId="18009"/>
    <cellStyle name="표준 6 3 2 5" xfId="15571"/>
    <cellStyle name="표준 6 3 3" xfId="4859"/>
    <cellStyle name="표준 6 3 3 2" xfId="9736"/>
    <cellStyle name="표준 6 3 3 2 2" xfId="20984"/>
    <cellStyle name="표준 6 3 3 3" xfId="7298"/>
    <cellStyle name="표준 6 3 3 3 2" xfId="18546"/>
    <cellStyle name="표준 6 3 3 4" xfId="16108"/>
    <cellStyle name="표준 6 3 4" xfId="8746"/>
    <cellStyle name="표준 6 3 4 2" xfId="19994"/>
    <cellStyle name="표준 6 3 5" xfId="6308"/>
    <cellStyle name="표준 6 3 5 2" xfId="17556"/>
    <cellStyle name="표준 6 3 6" xfId="10919"/>
    <cellStyle name="표준 6 3 6 2" xfId="22166"/>
    <cellStyle name="표준 6 3 7" xfId="3867"/>
    <cellStyle name="표준 6 3 7 2" xfId="15118"/>
    <cellStyle name="표준 6 3 8" xfId="3012"/>
    <cellStyle name="표준 6 3 8 2" xfId="14290"/>
    <cellStyle name="표준 6 3 9" xfId="12830"/>
    <cellStyle name="표준 6 4" xfId="4093"/>
    <cellStyle name="표준 6 4 2" xfId="5085"/>
    <cellStyle name="표준 6 4 2 2" xfId="9962"/>
    <cellStyle name="표준 6 4 2 2 2" xfId="21210"/>
    <cellStyle name="표준 6 4 2 3" xfId="7524"/>
    <cellStyle name="표준 6 4 2 3 2" xfId="18772"/>
    <cellStyle name="표준 6 4 2 4" xfId="16334"/>
    <cellStyle name="표준 6 4 3" xfId="8972"/>
    <cellStyle name="표준 6 4 3 2" xfId="20220"/>
    <cellStyle name="표준 6 4 4" xfId="6534"/>
    <cellStyle name="표준 6 4 4 2" xfId="17782"/>
    <cellStyle name="표준 6 4 5" xfId="15344"/>
    <cellStyle name="표준 6 5" xfId="4502"/>
    <cellStyle name="표준 6 5 2" xfId="5492"/>
    <cellStyle name="표준 6 5 2 2" xfId="10369"/>
    <cellStyle name="표준 6 5 2 2 2" xfId="21617"/>
    <cellStyle name="표준 6 5 2 3" xfId="7931"/>
    <cellStyle name="표준 6 5 2 3 2" xfId="19179"/>
    <cellStyle name="표준 6 5 2 4" xfId="16741"/>
    <cellStyle name="표준 6 5 3" xfId="9379"/>
    <cellStyle name="표준 6 5 3 2" xfId="20627"/>
    <cellStyle name="표준 6 5 4" xfId="6941"/>
    <cellStyle name="표준 6 5 4 2" xfId="18189"/>
    <cellStyle name="표준 6 5 5" xfId="15751"/>
    <cellStyle name="표준 6 6" xfId="4633"/>
    <cellStyle name="표준 6 6 2" xfId="9510"/>
    <cellStyle name="표준 6 6 2 2" xfId="20758"/>
    <cellStyle name="표준 6 6 3" xfId="7072"/>
    <cellStyle name="표준 6 6 3 2" xfId="18320"/>
    <cellStyle name="표준 6 6 4" xfId="15882"/>
    <cellStyle name="표준 6 7" xfId="5576"/>
    <cellStyle name="표준 6 7 2" xfId="10453"/>
    <cellStyle name="표준 6 7 2 2" xfId="21701"/>
    <cellStyle name="표준 6 7 3" xfId="8015"/>
    <cellStyle name="표준 6 7 3 2" xfId="19263"/>
    <cellStyle name="표준 6 7 4" xfId="16825"/>
    <cellStyle name="표준 6 8" xfId="5682"/>
    <cellStyle name="표준 6 8 2" xfId="10559"/>
    <cellStyle name="표준 6 8 2 2" xfId="21807"/>
    <cellStyle name="표준 6 8 3" xfId="8121"/>
    <cellStyle name="표준 6 8 3 2" xfId="19369"/>
    <cellStyle name="표준 6 8 4" xfId="16931"/>
    <cellStyle name="표준 6 9" xfId="5765"/>
    <cellStyle name="표준 6 9 2" xfId="10642"/>
    <cellStyle name="표준 6 9 2 2" xfId="21890"/>
    <cellStyle name="표준 6 9 3" xfId="8204"/>
    <cellStyle name="표준 6 9 3 2" xfId="19452"/>
    <cellStyle name="표준 6 9 4" xfId="17014"/>
    <cellStyle name="표준 7" xfId="642"/>
    <cellStyle name="표준 7 2" xfId="1468"/>
    <cellStyle name="표준 7 2 2" xfId="11086"/>
    <cellStyle name="표준 7 2 2 2" xfId="22333"/>
    <cellStyle name="표준 7 3" xfId="10901"/>
    <cellStyle name="표준 7 3 2" xfId="22149"/>
    <cellStyle name="표준 7 4" xfId="2313"/>
    <cellStyle name="표준 7 4 2" xfId="13728"/>
    <cellStyle name="표준 7 5" xfId="12268"/>
    <cellStyle name="표준 8" xfId="940"/>
    <cellStyle name="표준 8 2" xfId="5256"/>
    <cellStyle name="표준 8 2 2" xfId="10133"/>
    <cellStyle name="표준 8 2 2 2" xfId="21381"/>
    <cellStyle name="표준 8 2 3" xfId="7695"/>
    <cellStyle name="표준 8 2 3 2" xfId="18943"/>
    <cellStyle name="표준 8 2 4" xfId="16505"/>
    <cellStyle name="표준 8 3" xfId="9143"/>
    <cellStyle name="표준 8 3 2" xfId="20391"/>
    <cellStyle name="표준 8 4" xfId="6705"/>
    <cellStyle name="표준 8 4 2" xfId="17953"/>
    <cellStyle name="표준 8 5" xfId="10903"/>
    <cellStyle name="표준 8 6" xfId="4264"/>
    <cellStyle name="표준 8 6 2" xfId="15515"/>
    <cellStyle name="표준 9" xfId="5568"/>
    <cellStyle name="표준 9 2" xfId="10445"/>
    <cellStyle name="표준 9 2 2" xfId="21693"/>
    <cellStyle name="표준 9 3" xfId="8007"/>
    <cellStyle name="표준 9 3 2" xfId="19255"/>
    <cellStyle name="표준 9 4" xfId="10902"/>
    <cellStyle name="표준 9 4 2" xfId="22150"/>
    <cellStyle name="표준 9 5" xfId="16817"/>
    <cellStyle name="하이퍼링크 2" xfId="3645"/>
  </cellStyles>
  <dxfs count="0"/>
  <tableStyles count="0" defaultTableStyle="TableStyleMedium9" defaultPivotStyle="PivotStyleLight16"/>
  <colors>
    <mruColors>
      <color rgb="FFFFFFCC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3" tint="-0.249977111117893"/>
  </sheetPr>
  <dimension ref="A1:AL44"/>
  <sheetViews>
    <sheetView tabSelected="1" zoomScaleNormal="100" workbookViewId="0">
      <pane xSplit="7" ySplit="4" topLeftCell="H7" activePane="bottomRight" state="frozen"/>
      <selection pane="topRight" activeCell="G1" sqref="G1"/>
      <selection pane="bottomLeft" activeCell="A5" sqref="A5"/>
      <selection pane="bottomRight" activeCell="H56" sqref="H56"/>
    </sheetView>
  </sheetViews>
  <sheetFormatPr defaultRowHeight="12" x14ac:dyDescent="0.3"/>
  <cols>
    <col min="1" max="1" width="7.875" style="6" customWidth="1"/>
    <col min="2" max="2" width="4.75" style="6" customWidth="1"/>
    <col min="3" max="3" width="13.375" style="6" customWidth="1"/>
    <col min="4" max="4" width="15.25" style="6" customWidth="1"/>
    <col min="5" max="5" width="11.5" style="6" customWidth="1"/>
    <col min="6" max="6" width="7.875" style="6" customWidth="1"/>
    <col min="7" max="7" width="13.125" style="6" customWidth="1"/>
    <col min="8" max="8" width="10.625" style="6" bestFit="1" customWidth="1"/>
    <col min="9" max="9" width="7.5" style="6" customWidth="1"/>
    <col min="10" max="10" width="6.25" style="6" customWidth="1"/>
    <col min="11" max="11" width="6.75" style="6" customWidth="1"/>
    <col min="12" max="12" width="7.125" style="6" customWidth="1"/>
    <col min="13" max="13" width="7" style="6" customWidth="1"/>
    <col min="14" max="14" width="5.125" style="6" customWidth="1"/>
    <col min="15" max="15" width="8.25" style="6" customWidth="1"/>
    <col min="16" max="16" width="9.25" style="6" customWidth="1"/>
    <col min="17" max="17" width="6.375" style="6" customWidth="1"/>
    <col min="18" max="18" width="8.25" style="6" customWidth="1"/>
    <col min="19" max="21" width="6.875" style="6" customWidth="1"/>
    <col min="22" max="22" width="29.125" style="8" customWidth="1"/>
    <col min="23" max="23" width="17.125" style="8" customWidth="1"/>
    <col min="24" max="24" width="6.125" style="8" customWidth="1"/>
    <col min="25" max="25" width="6.25" style="8" customWidth="1"/>
    <col min="26" max="26" width="6.375" style="8" customWidth="1"/>
    <col min="27" max="27" width="6.875" style="8" customWidth="1"/>
    <col min="28" max="30" width="8.625" style="8" customWidth="1"/>
    <col min="31" max="32" width="11" style="6" customWidth="1"/>
    <col min="33" max="33" width="11" style="8" customWidth="1"/>
    <col min="34" max="35" width="11" style="6" customWidth="1"/>
    <col min="36" max="36" width="6.125" style="6" customWidth="1"/>
    <col min="37" max="37" width="6.625" style="6" customWidth="1"/>
    <col min="38" max="38" width="7.875" style="6" customWidth="1"/>
    <col min="39" max="16384" width="9" style="6"/>
  </cols>
  <sheetData>
    <row r="1" spans="1:38" ht="18" customHeight="1" x14ac:dyDescent="0.3">
      <c r="A1" s="11" t="s">
        <v>17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x14ac:dyDescent="0.3">
      <c r="A2" s="16"/>
      <c r="B2" s="16"/>
      <c r="C2" s="16"/>
      <c r="D2" s="16" t="s">
        <v>106</v>
      </c>
      <c r="E2" s="16" t="s">
        <v>19</v>
      </c>
      <c r="F2" s="16" t="s">
        <v>282</v>
      </c>
      <c r="G2" s="16" t="s">
        <v>113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s="28" customFormat="1" ht="35.25" customHeight="1" x14ac:dyDescent="0.3">
      <c r="A3" s="25" t="s">
        <v>84</v>
      </c>
      <c r="B3" s="25" t="s">
        <v>131</v>
      </c>
      <c r="C3" s="25" t="s">
        <v>85</v>
      </c>
      <c r="D3" s="25" t="s">
        <v>87</v>
      </c>
      <c r="E3" s="25" t="s">
        <v>88</v>
      </c>
      <c r="F3" s="25" t="s">
        <v>280</v>
      </c>
      <c r="G3" s="25" t="s">
        <v>114</v>
      </c>
      <c r="H3" s="25" t="s">
        <v>191</v>
      </c>
      <c r="I3" s="27" t="s">
        <v>170</v>
      </c>
      <c r="J3" s="25" t="s">
        <v>115</v>
      </c>
      <c r="K3" s="25" t="s">
        <v>117</v>
      </c>
      <c r="L3" s="26" t="s">
        <v>93</v>
      </c>
      <c r="M3" s="26" t="s">
        <v>94</v>
      </c>
      <c r="N3" s="69" t="s">
        <v>337</v>
      </c>
      <c r="O3" s="25" t="s">
        <v>97</v>
      </c>
      <c r="P3" s="27" t="s">
        <v>171</v>
      </c>
      <c r="Q3" s="27" t="s">
        <v>172</v>
      </c>
      <c r="R3" s="27" t="s">
        <v>173</v>
      </c>
      <c r="S3" s="25" t="s">
        <v>18</v>
      </c>
      <c r="T3" s="25" t="s">
        <v>352</v>
      </c>
      <c r="U3" s="27" t="s">
        <v>357</v>
      </c>
      <c r="V3" s="25" t="s">
        <v>86</v>
      </c>
      <c r="W3" s="27" t="s">
        <v>209</v>
      </c>
      <c r="X3" s="27" t="s">
        <v>176</v>
      </c>
      <c r="Y3" s="48" t="s">
        <v>188</v>
      </c>
      <c r="Z3" s="48" t="s">
        <v>187</v>
      </c>
      <c r="AA3" s="44" t="s">
        <v>174</v>
      </c>
      <c r="AB3" s="42" t="s">
        <v>179</v>
      </c>
      <c r="AC3" s="42" t="s">
        <v>177</v>
      </c>
      <c r="AD3" s="42" t="s">
        <v>180</v>
      </c>
      <c r="AE3" s="51" t="s">
        <v>344</v>
      </c>
      <c r="AF3" s="51" t="s">
        <v>345</v>
      </c>
      <c r="AG3" s="27" t="s">
        <v>346</v>
      </c>
      <c r="AH3" s="27" t="s">
        <v>168</v>
      </c>
      <c r="AI3" s="27" t="s">
        <v>169</v>
      </c>
      <c r="AJ3" s="66" t="s">
        <v>339</v>
      </c>
      <c r="AK3" s="66" t="s">
        <v>338</v>
      </c>
      <c r="AL3" s="66" t="s">
        <v>340</v>
      </c>
    </row>
    <row r="4" spans="1:38" x14ac:dyDescent="0.3">
      <c r="A4" s="21" t="s">
        <v>76</v>
      </c>
      <c r="B4" s="21" t="s">
        <v>128</v>
      </c>
      <c r="C4" s="21" t="s">
        <v>74</v>
      </c>
      <c r="D4" s="21" t="s">
        <v>90</v>
      </c>
      <c r="E4" s="21" t="s">
        <v>19</v>
      </c>
      <c r="F4" s="21" t="s">
        <v>281</v>
      </c>
      <c r="G4" s="21" t="s">
        <v>113</v>
      </c>
      <c r="H4" s="21" t="s">
        <v>192</v>
      </c>
      <c r="I4" s="21" t="s">
        <v>92</v>
      </c>
      <c r="J4" s="21" t="s">
        <v>116</v>
      </c>
      <c r="K4" s="21" t="s">
        <v>118</v>
      </c>
      <c r="L4" s="22" t="s">
        <v>128</v>
      </c>
      <c r="M4" s="22" t="s">
        <v>128</v>
      </c>
      <c r="N4" s="22" t="s">
        <v>341</v>
      </c>
      <c r="O4" s="21" t="s">
        <v>99</v>
      </c>
      <c r="P4" s="21" t="s">
        <v>96</v>
      </c>
      <c r="Q4" s="21" t="s">
        <v>128</v>
      </c>
      <c r="R4" s="21" t="s">
        <v>20</v>
      </c>
      <c r="S4" s="21" t="s">
        <v>101</v>
      </c>
      <c r="T4" s="21" t="s">
        <v>353</v>
      </c>
      <c r="U4" s="21" t="s">
        <v>356</v>
      </c>
      <c r="V4" s="21" t="s">
        <v>103</v>
      </c>
      <c r="W4" s="21" t="s">
        <v>210</v>
      </c>
      <c r="X4" s="21" t="s">
        <v>175</v>
      </c>
      <c r="Y4" s="49" t="s">
        <v>189</v>
      </c>
      <c r="Z4" s="49" t="s">
        <v>190</v>
      </c>
      <c r="AA4" s="45" t="s">
        <v>178</v>
      </c>
      <c r="AB4" s="43" t="s">
        <v>182</v>
      </c>
      <c r="AC4" s="43" t="s">
        <v>181</v>
      </c>
      <c r="AD4" s="43" t="s">
        <v>183</v>
      </c>
      <c r="AE4" s="50" t="s">
        <v>195</v>
      </c>
      <c r="AF4" s="50" t="s">
        <v>328</v>
      </c>
      <c r="AG4" s="21" t="s">
        <v>194</v>
      </c>
      <c r="AH4" s="21" t="s">
        <v>151</v>
      </c>
      <c r="AI4" s="21" t="s">
        <v>152</v>
      </c>
      <c r="AJ4" s="67" t="s">
        <v>128</v>
      </c>
      <c r="AK4" s="67" t="s">
        <v>128</v>
      </c>
      <c r="AL4" s="67" t="s">
        <v>128</v>
      </c>
    </row>
    <row r="5" spans="1:38" ht="13.5" x14ac:dyDescent="0.3">
      <c r="A5" s="63">
        <v>1</v>
      </c>
      <c r="B5" s="17" t="s">
        <v>129</v>
      </c>
      <c r="C5" s="23" t="s">
        <v>284</v>
      </c>
      <c r="D5" s="17" t="s">
        <v>261</v>
      </c>
      <c r="E5" s="23" t="s">
        <v>127</v>
      </c>
      <c r="F5" s="23" t="s">
        <v>271</v>
      </c>
      <c r="G5" s="23" t="s">
        <v>134</v>
      </c>
      <c r="H5" s="23">
        <v>1</v>
      </c>
      <c r="I5" s="23">
        <v>30</v>
      </c>
      <c r="J5" s="23">
        <v>7</v>
      </c>
      <c r="K5" s="23">
        <v>10</v>
      </c>
      <c r="L5" s="29">
        <f>I5*J5</f>
        <v>210</v>
      </c>
      <c r="M5" s="29">
        <f t="shared" ref="M5:M41" si="0">I5*K5</f>
        <v>300</v>
      </c>
      <c r="N5" s="70">
        <v>1</v>
      </c>
      <c r="O5" s="23">
        <v>19</v>
      </c>
      <c r="P5" s="23">
        <v>830</v>
      </c>
      <c r="Q5" s="30">
        <f t="shared" ref="Q5:Q41" si="1">60/P5</f>
        <v>7.2289156626506021E-2</v>
      </c>
      <c r="R5" s="23">
        <v>2.2000000000000002</v>
      </c>
      <c r="S5" s="23">
        <v>100</v>
      </c>
      <c r="T5" s="23"/>
      <c r="U5" s="23"/>
      <c r="V5" s="31" t="s">
        <v>287</v>
      </c>
      <c r="W5" s="60" t="s">
        <v>211</v>
      </c>
      <c r="X5" s="23">
        <v>1</v>
      </c>
      <c r="Y5" s="46"/>
      <c r="Z5" s="46"/>
      <c r="AA5" s="32"/>
      <c r="AB5" s="32"/>
      <c r="AC5" s="32"/>
      <c r="AD5" s="32"/>
      <c r="AE5" s="24">
        <v>3.8</v>
      </c>
      <c r="AF5" s="24">
        <v>1</v>
      </c>
      <c r="AG5" s="23">
        <v>0.8</v>
      </c>
      <c r="AH5" s="24">
        <v>1.7</v>
      </c>
      <c r="AI5" s="24">
        <v>3.3</v>
      </c>
      <c r="AJ5" s="24">
        <f>ROUND(IF(G5="Sniper", SniperRefAngle/Database!AF5, RefAngle/Database!AE5) * IF(OR(E5="근접 무기", E5="투척 무기"), 0, 1) *100, 2)</f>
        <v>78.95</v>
      </c>
      <c r="AK5" s="24">
        <f>ROUND((1 - POWER(1-AJ5/100,N5)) * 100,2)</f>
        <v>78.95</v>
      </c>
      <c r="AL5" s="24">
        <f>ROUND((1 - POWER(1-AK5/100,P5/60)) * 100,2)</f>
        <v>100</v>
      </c>
    </row>
    <row r="6" spans="1:38" ht="13.5" x14ac:dyDescent="0.3">
      <c r="A6" s="63">
        <v>2</v>
      </c>
      <c r="B6" s="17" t="s">
        <v>129</v>
      </c>
      <c r="C6" s="23" t="s">
        <v>285</v>
      </c>
      <c r="D6" s="17" t="s">
        <v>262</v>
      </c>
      <c r="E6" s="23" t="s">
        <v>61</v>
      </c>
      <c r="F6" s="23" t="s">
        <v>271</v>
      </c>
      <c r="G6" s="23" t="s">
        <v>134</v>
      </c>
      <c r="H6" s="23">
        <v>2</v>
      </c>
      <c r="I6" s="23">
        <v>17</v>
      </c>
      <c r="J6" s="23">
        <v>5</v>
      </c>
      <c r="K6" s="23">
        <v>10</v>
      </c>
      <c r="L6" s="29">
        <f>I6*J6</f>
        <v>85</v>
      </c>
      <c r="M6" s="29">
        <f t="shared" si="0"/>
        <v>170</v>
      </c>
      <c r="N6" s="70">
        <v>1</v>
      </c>
      <c r="O6" s="23">
        <v>20</v>
      </c>
      <c r="P6" s="23">
        <v>300</v>
      </c>
      <c r="Q6" s="30">
        <f t="shared" si="1"/>
        <v>0.2</v>
      </c>
      <c r="R6" s="23">
        <v>1.6</v>
      </c>
      <c r="S6" s="23">
        <v>50</v>
      </c>
      <c r="T6" s="23"/>
      <c r="U6" s="23"/>
      <c r="V6" s="31" t="s">
        <v>288</v>
      </c>
      <c r="W6" s="60" t="s">
        <v>212</v>
      </c>
      <c r="X6" s="23">
        <v>1</v>
      </c>
      <c r="Y6" s="46"/>
      <c r="Z6" s="46"/>
      <c r="AA6" s="32"/>
      <c r="AB6" s="32">
        <v>30</v>
      </c>
      <c r="AC6" s="32">
        <v>210</v>
      </c>
      <c r="AD6" s="32">
        <v>840</v>
      </c>
      <c r="AE6" s="24">
        <v>4.33</v>
      </c>
      <c r="AF6" s="24">
        <v>1</v>
      </c>
      <c r="AG6" s="23">
        <v>0.8</v>
      </c>
      <c r="AH6" s="24">
        <v>1.4</v>
      </c>
      <c r="AI6" s="24">
        <v>1.8</v>
      </c>
      <c r="AJ6" s="24">
        <f>ROUND(IF(G6="Sniper", SniperRefAngle/Database!AF6, RefAngle/Database!AE6) * IF(OR(E6="근접 무기", E6="투척 무기"), 0, 1) *100, 2)</f>
        <v>69.28</v>
      </c>
      <c r="AK6" s="24">
        <f t="shared" ref="AK6:AK44" si="2">ROUND((1 - POWER(1-AJ6/100,N6)) * 100,2)</f>
        <v>69.28</v>
      </c>
      <c r="AL6" s="24">
        <f t="shared" ref="AL6:AL44" si="3">ROUND((1 - POWER(1-AK6/100,P6/60)) * 100,2)</f>
        <v>99.73</v>
      </c>
    </row>
    <row r="7" spans="1:38" ht="13.5" x14ac:dyDescent="0.3">
      <c r="A7" s="63">
        <v>3</v>
      </c>
      <c r="B7" s="17" t="s">
        <v>129</v>
      </c>
      <c r="C7" s="23" t="s">
        <v>286</v>
      </c>
      <c r="D7" s="17" t="s">
        <v>261</v>
      </c>
      <c r="E7" s="23" t="s">
        <v>64</v>
      </c>
      <c r="F7" s="23" t="s">
        <v>271</v>
      </c>
      <c r="G7" s="23" t="s">
        <v>167</v>
      </c>
      <c r="H7" s="23">
        <v>1</v>
      </c>
      <c r="I7" s="23">
        <v>6</v>
      </c>
      <c r="J7" s="23">
        <v>8</v>
      </c>
      <c r="K7" s="23">
        <v>10</v>
      </c>
      <c r="L7" s="29">
        <f>I7*J7</f>
        <v>48</v>
      </c>
      <c r="M7" s="29">
        <f t="shared" si="0"/>
        <v>60</v>
      </c>
      <c r="N7" s="70">
        <v>8</v>
      </c>
      <c r="O7" s="23">
        <v>17</v>
      </c>
      <c r="P7" s="23">
        <v>48</v>
      </c>
      <c r="Q7" s="30">
        <f t="shared" si="1"/>
        <v>1.25</v>
      </c>
      <c r="R7" s="23">
        <v>4.5</v>
      </c>
      <c r="S7" s="23">
        <v>20</v>
      </c>
      <c r="T7" s="23"/>
      <c r="U7" s="23"/>
      <c r="V7" s="31" t="s">
        <v>289</v>
      </c>
      <c r="W7" s="60" t="s">
        <v>213</v>
      </c>
      <c r="X7" s="23">
        <v>1</v>
      </c>
      <c r="Y7" s="46"/>
      <c r="Z7" s="46"/>
      <c r="AA7" s="32"/>
      <c r="AB7" s="32"/>
      <c r="AC7" s="32"/>
      <c r="AD7" s="32"/>
      <c r="AE7" s="24">
        <v>13.5</v>
      </c>
      <c r="AF7" s="24">
        <v>1</v>
      </c>
      <c r="AG7" s="23">
        <v>0.9</v>
      </c>
      <c r="AH7" s="24">
        <v>1.7</v>
      </c>
      <c r="AI7" s="24">
        <v>1.8</v>
      </c>
      <c r="AJ7" s="24">
        <f>ROUND(IF(G7="Sniper", SniperRefAngle/Database!AF7, RefAngle/Database!AE7) * IF(OR(E7="근접 무기", E7="투척 무기"), 0, 1) *100, 2)</f>
        <v>22.22</v>
      </c>
      <c r="AK7" s="24">
        <f>ROUND((1 - POWER(1-AJ7/100,N7)) * 100,2)</f>
        <v>86.6</v>
      </c>
      <c r="AL7" s="24">
        <f t="shared" si="3"/>
        <v>79.97</v>
      </c>
    </row>
    <row r="8" spans="1:38" ht="13.5" x14ac:dyDescent="0.3">
      <c r="A8" s="63">
        <v>4</v>
      </c>
      <c r="B8" s="17" t="s">
        <v>129</v>
      </c>
      <c r="C8" s="17" t="s">
        <v>137</v>
      </c>
      <c r="D8" s="17" t="s">
        <v>264</v>
      </c>
      <c r="E8" s="23" t="s">
        <v>110</v>
      </c>
      <c r="F8" s="23" t="s">
        <v>350</v>
      </c>
      <c r="G8" s="23" t="s">
        <v>135</v>
      </c>
      <c r="H8" s="23">
        <v>1</v>
      </c>
      <c r="I8" s="23">
        <v>1</v>
      </c>
      <c r="J8" s="23">
        <v>2</v>
      </c>
      <c r="K8" s="23">
        <v>3</v>
      </c>
      <c r="L8" s="29">
        <f>I8*J8</f>
        <v>2</v>
      </c>
      <c r="M8" s="29">
        <f t="shared" si="0"/>
        <v>3</v>
      </c>
      <c r="N8" s="70">
        <v>1</v>
      </c>
      <c r="O8" s="23">
        <v>81</v>
      </c>
      <c r="P8" s="23">
        <v>999</v>
      </c>
      <c r="Q8" s="30">
        <f t="shared" si="1"/>
        <v>6.006006006006006E-2</v>
      </c>
      <c r="R8" s="23">
        <v>5</v>
      </c>
      <c r="S8" s="23">
        <v>35</v>
      </c>
      <c r="T8" s="23">
        <v>14</v>
      </c>
      <c r="U8" s="23"/>
      <c r="V8" s="31" t="s">
        <v>201</v>
      </c>
      <c r="W8" s="60" t="s">
        <v>214</v>
      </c>
      <c r="X8" s="23">
        <v>1</v>
      </c>
      <c r="Y8" s="46">
        <v>10</v>
      </c>
      <c r="Z8" s="46">
        <v>4</v>
      </c>
      <c r="AA8" s="32">
        <v>50</v>
      </c>
      <c r="AB8" s="32"/>
      <c r="AC8" s="32"/>
      <c r="AD8" s="32"/>
      <c r="AE8" s="24">
        <v>20</v>
      </c>
      <c r="AF8" s="24">
        <v>10</v>
      </c>
      <c r="AG8" s="23">
        <v>0.7</v>
      </c>
      <c r="AH8" s="24">
        <v>1.2</v>
      </c>
      <c r="AI8" s="24">
        <v>1.5</v>
      </c>
      <c r="AJ8" s="24">
        <f>ROUND(IF(G8="Sniper", SniperRefAngle/Database!AF8, RefAngle/Database!AE8) * IF(OR(E8="근접 무기", E8="투척 무기"), 0, 1) *100, 2)</f>
        <v>0</v>
      </c>
      <c r="AK8" s="24">
        <f t="shared" si="2"/>
        <v>0</v>
      </c>
      <c r="AL8" s="24">
        <f t="shared" si="3"/>
        <v>0</v>
      </c>
    </row>
    <row r="9" spans="1:38" ht="13.5" x14ac:dyDescent="0.3">
      <c r="A9" s="63">
        <v>5</v>
      </c>
      <c r="B9" s="17" t="s">
        <v>129</v>
      </c>
      <c r="C9" s="17" t="s">
        <v>141</v>
      </c>
      <c r="D9" s="17" t="s">
        <v>261</v>
      </c>
      <c r="E9" s="23" t="s">
        <v>71</v>
      </c>
      <c r="F9" s="23" t="s">
        <v>271</v>
      </c>
      <c r="G9" s="23" t="s">
        <v>150</v>
      </c>
      <c r="H9" s="23">
        <v>1</v>
      </c>
      <c r="I9" s="23">
        <v>10</v>
      </c>
      <c r="J9" s="23">
        <v>5</v>
      </c>
      <c r="K9" s="23">
        <v>10</v>
      </c>
      <c r="L9" s="29">
        <f>I9*J9</f>
        <v>50</v>
      </c>
      <c r="M9" s="29">
        <f t="shared" si="0"/>
        <v>100</v>
      </c>
      <c r="N9" s="70">
        <v>1</v>
      </c>
      <c r="O9" s="23">
        <v>83</v>
      </c>
      <c r="P9" s="23">
        <v>48</v>
      </c>
      <c r="Q9" s="30">
        <f t="shared" si="1"/>
        <v>1.25</v>
      </c>
      <c r="R9" s="23">
        <v>2.6</v>
      </c>
      <c r="S9" s="23">
        <v>600</v>
      </c>
      <c r="T9" s="23"/>
      <c r="U9" s="23"/>
      <c r="V9" s="31" t="s">
        <v>199</v>
      </c>
      <c r="W9" s="60" t="s">
        <v>215</v>
      </c>
      <c r="X9" s="23">
        <v>1</v>
      </c>
      <c r="Y9" s="46"/>
      <c r="Z9" s="46"/>
      <c r="AA9" s="32"/>
      <c r="AB9" s="32"/>
      <c r="AC9" s="32"/>
      <c r="AD9" s="32"/>
      <c r="AE9" s="24">
        <v>5.6</v>
      </c>
      <c r="AF9" s="24">
        <v>0.10199999999999999</v>
      </c>
      <c r="AG9" s="24">
        <v>0.8</v>
      </c>
      <c r="AH9" s="24">
        <v>1.5</v>
      </c>
      <c r="AI9" s="24">
        <v>3</v>
      </c>
      <c r="AJ9" s="24">
        <f>ROUND(IF(G9="Sniper", SniperRefAngle/Database!AF9, RefAngle/Database!AE9) * IF(OR(E9="근접 무기", E9="투척 무기"), 0, 1) *100, 2)</f>
        <v>95.98</v>
      </c>
      <c r="AK9" s="24">
        <f t="shared" si="2"/>
        <v>95.98</v>
      </c>
      <c r="AL9" s="24">
        <f t="shared" si="3"/>
        <v>92.35</v>
      </c>
    </row>
    <row r="10" spans="1:38" ht="13.5" x14ac:dyDescent="0.3">
      <c r="A10" s="63">
        <v>6</v>
      </c>
      <c r="B10" s="17" t="s">
        <v>129</v>
      </c>
      <c r="C10" s="17" t="s">
        <v>138</v>
      </c>
      <c r="D10" s="17" t="s">
        <v>263</v>
      </c>
      <c r="E10" s="23" t="s">
        <v>108</v>
      </c>
      <c r="F10" s="23" t="s">
        <v>271</v>
      </c>
      <c r="G10" s="23" t="s">
        <v>132</v>
      </c>
      <c r="H10" s="23">
        <v>1</v>
      </c>
      <c r="I10" s="23"/>
      <c r="J10" s="23"/>
      <c r="K10" s="23"/>
      <c r="L10" s="29"/>
      <c r="M10" s="29">
        <f t="shared" si="0"/>
        <v>0</v>
      </c>
      <c r="N10" s="70">
        <v>1</v>
      </c>
      <c r="O10" s="23">
        <v>41</v>
      </c>
      <c r="P10" s="23">
        <v>100</v>
      </c>
      <c r="Q10" s="30">
        <f t="shared" si="1"/>
        <v>0.6</v>
      </c>
      <c r="R10" s="23">
        <v>0.9</v>
      </c>
      <c r="S10" s="23">
        <v>2</v>
      </c>
      <c r="T10" s="23"/>
      <c r="U10" s="23"/>
      <c r="V10" s="31" t="s">
        <v>253</v>
      </c>
      <c r="W10" s="60" t="s">
        <v>216</v>
      </c>
      <c r="X10" s="23">
        <v>1</v>
      </c>
      <c r="Y10" s="46"/>
      <c r="Z10" s="46"/>
      <c r="AA10" s="32"/>
      <c r="AB10" s="32"/>
      <c r="AC10" s="32"/>
      <c r="AD10" s="32"/>
      <c r="AE10" s="24">
        <v>4</v>
      </c>
      <c r="AF10" s="24">
        <v>1</v>
      </c>
      <c r="AG10" s="24">
        <v>1</v>
      </c>
      <c r="AH10" s="24">
        <v>1</v>
      </c>
      <c r="AI10" s="24">
        <v>1</v>
      </c>
      <c r="AJ10" s="24">
        <f>ROUND(IF(G10="Sniper", SniperRefAngle/Database!AF10, RefAngle/Database!AE10) * IF(OR(E10="근접 무기", E10="투척 무기"), 0, 1) *100, 2)</f>
        <v>0</v>
      </c>
      <c r="AK10" s="24">
        <f t="shared" si="2"/>
        <v>0</v>
      </c>
      <c r="AL10" s="24">
        <f t="shared" si="3"/>
        <v>0</v>
      </c>
    </row>
    <row r="11" spans="1:38" ht="13.5" x14ac:dyDescent="0.3">
      <c r="A11" s="63">
        <v>7</v>
      </c>
      <c r="B11" s="17" t="s">
        <v>129</v>
      </c>
      <c r="C11" s="17" t="s">
        <v>166</v>
      </c>
      <c r="D11" s="17" t="s">
        <v>264</v>
      </c>
      <c r="E11" s="23" t="s">
        <v>110</v>
      </c>
      <c r="F11" s="23" t="s">
        <v>348</v>
      </c>
      <c r="G11" s="23" t="s">
        <v>135</v>
      </c>
      <c r="H11" s="23">
        <v>2</v>
      </c>
      <c r="I11" s="23">
        <v>1</v>
      </c>
      <c r="J11" s="23">
        <v>2</v>
      </c>
      <c r="K11" s="23">
        <v>3</v>
      </c>
      <c r="L11" s="29">
        <f t="shared" ref="L11:L41" si="4">I11*J11</f>
        <v>2</v>
      </c>
      <c r="M11" s="29">
        <f t="shared" si="0"/>
        <v>3</v>
      </c>
      <c r="N11" s="70">
        <v>1</v>
      </c>
      <c r="O11" s="23">
        <v>15</v>
      </c>
      <c r="P11" s="23">
        <v>999</v>
      </c>
      <c r="Q11" s="30">
        <f t="shared" si="1"/>
        <v>6.006006006006006E-2</v>
      </c>
      <c r="R11" s="23">
        <v>12</v>
      </c>
      <c r="S11" s="23">
        <v>30</v>
      </c>
      <c r="T11" s="23">
        <v>8</v>
      </c>
      <c r="U11" s="23">
        <v>6</v>
      </c>
      <c r="V11" s="31" t="s">
        <v>203</v>
      </c>
      <c r="W11" s="60" t="s">
        <v>217</v>
      </c>
      <c r="X11" s="23">
        <v>1</v>
      </c>
      <c r="Y11" s="46">
        <v>10</v>
      </c>
      <c r="Z11" s="46">
        <v>4</v>
      </c>
      <c r="AA11" s="32">
        <v>50</v>
      </c>
      <c r="AB11" s="32"/>
      <c r="AC11" s="32"/>
      <c r="AD11" s="32"/>
      <c r="AE11" s="24">
        <v>10.210000000000001</v>
      </c>
      <c r="AF11" s="24">
        <v>0.75</v>
      </c>
      <c r="AG11" s="24">
        <v>0.7</v>
      </c>
      <c r="AH11" s="24">
        <v>1.2</v>
      </c>
      <c r="AI11" s="24">
        <v>1.5</v>
      </c>
      <c r="AJ11" s="24">
        <f>ROUND(IF(G11="Sniper", SniperRefAngle/Database!AF11, RefAngle/Database!AE11) * IF(OR(E11="근접 무기", E11="투척 무기"), 0, 1) *100, 2)</f>
        <v>0</v>
      </c>
      <c r="AK11" s="24">
        <f t="shared" si="2"/>
        <v>0</v>
      </c>
      <c r="AL11" s="24">
        <f t="shared" si="3"/>
        <v>0</v>
      </c>
    </row>
    <row r="12" spans="1:38" ht="13.5" x14ac:dyDescent="0.3">
      <c r="A12" s="63">
        <v>8</v>
      </c>
      <c r="B12" s="34" t="s">
        <v>129</v>
      </c>
      <c r="C12" s="34" t="s">
        <v>163</v>
      </c>
      <c r="D12" s="17" t="s">
        <v>261</v>
      </c>
      <c r="E12" s="35" t="s">
        <v>64</v>
      </c>
      <c r="F12" s="64" t="s">
        <v>271</v>
      </c>
      <c r="G12" s="35" t="s">
        <v>133</v>
      </c>
      <c r="H12" s="35">
        <v>5</v>
      </c>
      <c r="I12" s="35">
        <v>1</v>
      </c>
      <c r="J12" s="35">
        <v>6</v>
      </c>
      <c r="K12" s="35">
        <v>6</v>
      </c>
      <c r="L12" s="36">
        <f t="shared" si="4"/>
        <v>6</v>
      </c>
      <c r="M12" s="36">
        <f t="shared" si="0"/>
        <v>6</v>
      </c>
      <c r="N12" s="64">
        <v>1</v>
      </c>
      <c r="O12" s="35">
        <v>210</v>
      </c>
      <c r="P12" s="35">
        <v>45</v>
      </c>
      <c r="Q12" s="37">
        <f t="shared" si="1"/>
        <v>1.3333333333333333</v>
      </c>
      <c r="R12" s="35">
        <v>2.5</v>
      </c>
      <c r="S12" s="35">
        <v>100</v>
      </c>
      <c r="T12" s="35"/>
      <c r="U12" s="35"/>
      <c r="V12" s="38" t="s">
        <v>202</v>
      </c>
      <c r="W12" s="61" t="s">
        <v>218</v>
      </c>
      <c r="X12" s="35"/>
      <c r="Y12" s="47"/>
      <c r="Z12" s="47"/>
      <c r="AA12" s="39"/>
      <c r="AB12" s="39"/>
      <c r="AC12" s="39"/>
      <c r="AD12" s="39"/>
      <c r="AE12" s="40">
        <v>4.21</v>
      </c>
      <c r="AF12" s="40">
        <v>1</v>
      </c>
      <c r="AG12" s="40">
        <v>0.9</v>
      </c>
      <c r="AH12" s="40">
        <v>2.5</v>
      </c>
      <c r="AI12" s="40">
        <v>2.5</v>
      </c>
      <c r="AJ12" s="40">
        <f>ROUND(IF(G12="Sniper", SniperRefAngle/Database!AF12, RefAngle/Database!AE12) * IF(OR(E12="근접 무기", E12="투척 무기"), 0, 1) *100, 2)</f>
        <v>71.260000000000005</v>
      </c>
      <c r="AK12" s="40">
        <f t="shared" si="2"/>
        <v>71.260000000000005</v>
      </c>
      <c r="AL12" s="40">
        <f t="shared" si="3"/>
        <v>60.75</v>
      </c>
    </row>
    <row r="13" spans="1:38" ht="13.5" x14ac:dyDescent="0.3">
      <c r="A13" s="63">
        <v>9</v>
      </c>
      <c r="B13" s="52" t="s">
        <v>130</v>
      </c>
      <c r="C13" s="52" t="s">
        <v>290</v>
      </c>
      <c r="D13" s="17" t="s">
        <v>261</v>
      </c>
      <c r="E13" s="53" t="s">
        <v>68</v>
      </c>
      <c r="F13" s="23" t="s">
        <v>271</v>
      </c>
      <c r="G13" s="53" t="s">
        <v>134</v>
      </c>
      <c r="H13" s="53">
        <v>5</v>
      </c>
      <c r="I13" s="53">
        <v>30</v>
      </c>
      <c r="J13" s="53">
        <v>5</v>
      </c>
      <c r="K13" s="53">
        <v>10</v>
      </c>
      <c r="L13" s="54">
        <f t="shared" si="4"/>
        <v>150</v>
      </c>
      <c r="M13" s="54">
        <f t="shared" si="0"/>
        <v>300</v>
      </c>
      <c r="N13" s="70">
        <v>1</v>
      </c>
      <c r="O13" s="53">
        <v>24</v>
      </c>
      <c r="P13" s="53">
        <v>700</v>
      </c>
      <c r="Q13" s="55">
        <f t="shared" si="1"/>
        <v>8.5714285714285715E-2</v>
      </c>
      <c r="R13" s="53">
        <v>2.2000000000000002</v>
      </c>
      <c r="S13" s="53">
        <v>400</v>
      </c>
      <c r="T13" s="53"/>
      <c r="U13" s="53"/>
      <c r="V13" s="56" t="s">
        <v>293</v>
      </c>
      <c r="W13" s="62" t="s">
        <v>219</v>
      </c>
      <c r="X13" s="53">
        <v>1</v>
      </c>
      <c r="Y13" s="57"/>
      <c r="Z13" s="57"/>
      <c r="AA13" s="58"/>
      <c r="AB13" s="58">
        <v>90</v>
      </c>
      <c r="AC13" s="58">
        <v>630</v>
      </c>
      <c r="AD13" s="58">
        <v>2520</v>
      </c>
      <c r="AE13" s="59">
        <v>3.4</v>
      </c>
      <c r="AF13" s="59">
        <v>1</v>
      </c>
      <c r="AG13" s="59">
        <v>0.8</v>
      </c>
      <c r="AH13" s="59">
        <v>1.6</v>
      </c>
      <c r="AI13" s="59">
        <v>3.5</v>
      </c>
      <c r="AJ13" s="59">
        <f>ROUND(IF(G13="Sniper", SniperRefAngle/Database!AF13, RefAngle/Database!AE13) * IF(OR(E13="근접 무기", E13="투척 무기"), 0, 1) *100, 2)</f>
        <v>88.24</v>
      </c>
      <c r="AK13" s="59">
        <f t="shared" si="2"/>
        <v>88.24</v>
      </c>
      <c r="AL13" s="59">
        <f t="shared" si="3"/>
        <v>100</v>
      </c>
    </row>
    <row r="14" spans="1:38" ht="13.5" x14ac:dyDescent="0.3">
      <c r="A14" s="63">
        <v>10</v>
      </c>
      <c r="B14" s="17" t="s">
        <v>130</v>
      </c>
      <c r="C14" s="17" t="s">
        <v>291</v>
      </c>
      <c r="D14" s="17" t="s">
        <v>261</v>
      </c>
      <c r="E14" s="23" t="s">
        <v>68</v>
      </c>
      <c r="F14" s="23" t="s">
        <v>271</v>
      </c>
      <c r="G14" s="23" t="s">
        <v>134</v>
      </c>
      <c r="H14" s="23">
        <v>2</v>
      </c>
      <c r="I14" s="23">
        <v>30</v>
      </c>
      <c r="J14" s="23">
        <v>5</v>
      </c>
      <c r="K14" s="23">
        <v>10</v>
      </c>
      <c r="L14" s="29">
        <f t="shared" si="4"/>
        <v>150</v>
      </c>
      <c r="M14" s="29">
        <f t="shared" si="0"/>
        <v>300</v>
      </c>
      <c r="N14" s="70">
        <v>1</v>
      </c>
      <c r="O14" s="23">
        <v>23</v>
      </c>
      <c r="P14" s="23">
        <v>710</v>
      </c>
      <c r="Q14" s="30">
        <f t="shared" si="1"/>
        <v>8.4507042253521125E-2</v>
      </c>
      <c r="R14" s="23">
        <v>2.2000000000000002</v>
      </c>
      <c r="S14" s="23">
        <v>330</v>
      </c>
      <c r="T14" s="23"/>
      <c r="U14" s="23"/>
      <c r="V14" s="31" t="s">
        <v>294</v>
      </c>
      <c r="W14" s="60" t="s">
        <v>220</v>
      </c>
      <c r="X14" s="23">
        <v>1</v>
      </c>
      <c r="Y14" s="46"/>
      <c r="Z14" s="46"/>
      <c r="AA14" s="32"/>
      <c r="AB14" s="32">
        <v>30</v>
      </c>
      <c r="AC14" s="32">
        <v>210</v>
      </c>
      <c r="AD14" s="32">
        <v>840</v>
      </c>
      <c r="AE14" s="24">
        <v>3.6</v>
      </c>
      <c r="AF14" s="59">
        <v>1</v>
      </c>
      <c r="AG14" s="23">
        <v>0.8</v>
      </c>
      <c r="AH14" s="24">
        <v>1.3</v>
      </c>
      <c r="AI14" s="24">
        <v>3</v>
      </c>
      <c r="AJ14" s="24">
        <f>ROUND(IF(G14="Sniper", SniperRefAngle/Database!AF14, RefAngle/Database!AE14) * IF(OR(E14="근접 무기", E14="투척 무기"), 0, 1) *100, 2)</f>
        <v>83.33</v>
      </c>
      <c r="AK14" s="24">
        <f t="shared" si="2"/>
        <v>83.33</v>
      </c>
      <c r="AL14" s="24">
        <f t="shared" si="3"/>
        <v>100</v>
      </c>
    </row>
    <row r="15" spans="1:38" ht="13.5" x14ac:dyDescent="0.3">
      <c r="A15" s="63">
        <v>11</v>
      </c>
      <c r="B15" s="17" t="s">
        <v>130</v>
      </c>
      <c r="C15" s="17" t="s">
        <v>292</v>
      </c>
      <c r="D15" s="17" t="s">
        <v>261</v>
      </c>
      <c r="E15" s="23" t="s">
        <v>127</v>
      </c>
      <c r="F15" s="23" t="s">
        <v>271</v>
      </c>
      <c r="G15" s="23" t="s">
        <v>134</v>
      </c>
      <c r="H15" s="23">
        <v>3</v>
      </c>
      <c r="I15" s="23">
        <v>30</v>
      </c>
      <c r="J15" s="23">
        <v>7</v>
      </c>
      <c r="K15" s="23">
        <v>10</v>
      </c>
      <c r="L15" s="29">
        <f t="shared" si="4"/>
        <v>210</v>
      </c>
      <c r="M15" s="29">
        <f t="shared" si="0"/>
        <v>300</v>
      </c>
      <c r="N15" s="70">
        <v>1</v>
      </c>
      <c r="O15" s="23">
        <v>21</v>
      </c>
      <c r="P15" s="23">
        <v>900</v>
      </c>
      <c r="Q15" s="30">
        <f t="shared" si="1"/>
        <v>6.6666666666666666E-2</v>
      </c>
      <c r="R15" s="23">
        <v>2.1</v>
      </c>
      <c r="S15" s="23">
        <v>100</v>
      </c>
      <c r="T15" s="23"/>
      <c r="U15" s="23"/>
      <c r="V15" s="31" t="s">
        <v>295</v>
      </c>
      <c r="W15" s="60" t="s">
        <v>221</v>
      </c>
      <c r="X15" s="23">
        <v>1</v>
      </c>
      <c r="Y15" s="46"/>
      <c r="Z15" s="46"/>
      <c r="AA15" s="32"/>
      <c r="AB15" s="32">
        <v>50</v>
      </c>
      <c r="AC15" s="32">
        <v>350</v>
      </c>
      <c r="AD15" s="32">
        <v>1400</v>
      </c>
      <c r="AE15" s="24">
        <v>3.75</v>
      </c>
      <c r="AF15" s="24">
        <v>1</v>
      </c>
      <c r="AG15" s="23">
        <v>0.8</v>
      </c>
      <c r="AH15" s="24">
        <v>1.5</v>
      </c>
      <c r="AI15" s="24">
        <v>3</v>
      </c>
      <c r="AJ15" s="24">
        <f>ROUND(IF(G15="Sniper", SniperRefAngle/Database!AF15, RefAngle/Database!AE15) * IF(OR(E15="근접 무기", E15="투척 무기"), 0, 1) *100, 2)</f>
        <v>80</v>
      </c>
      <c r="AK15" s="24">
        <f t="shared" si="2"/>
        <v>80</v>
      </c>
      <c r="AL15" s="24">
        <f t="shared" si="3"/>
        <v>100</v>
      </c>
    </row>
    <row r="16" spans="1:38" ht="13.5" x14ac:dyDescent="0.3">
      <c r="A16" s="63">
        <v>12</v>
      </c>
      <c r="B16" s="17" t="s">
        <v>130</v>
      </c>
      <c r="C16" s="17" t="s">
        <v>139</v>
      </c>
      <c r="D16" s="17" t="s">
        <v>263</v>
      </c>
      <c r="E16" s="23" t="s">
        <v>108</v>
      </c>
      <c r="F16" s="23" t="s">
        <v>271</v>
      </c>
      <c r="G16" s="23" t="s">
        <v>132</v>
      </c>
      <c r="H16" s="23">
        <v>5</v>
      </c>
      <c r="I16" s="23"/>
      <c r="J16" s="23"/>
      <c r="K16" s="23"/>
      <c r="L16" s="29">
        <f t="shared" si="4"/>
        <v>0</v>
      </c>
      <c r="M16" s="29">
        <f t="shared" si="0"/>
        <v>0</v>
      </c>
      <c r="N16" s="70">
        <v>1</v>
      </c>
      <c r="O16" s="23">
        <v>54</v>
      </c>
      <c r="P16" s="23">
        <v>90</v>
      </c>
      <c r="Q16" s="30">
        <f t="shared" si="1"/>
        <v>0.66666666666666663</v>
      </c>
      <c r="R16" s="23">
        <v>1.5</v>
      </c>
      <c r="S16" s="23">
        <v>2</v>
      </c>
      <c r="T16" s="23"/>
      <c r="U16" s="23"/>
      <c r="V16" s="31" t="s">
        <v>255</v>
      </c>
      <c r="W16" s="60" t="s">
        <v>222</v>
      </c>
      <c r="X16" s="23">
        <v>1</v>
      </c>
      <c r="Y16" s="46"/>
      <c r="Z16" s="46"/>
      <c r="AA16" s="32"/>
      <c r="AB16" s="32">
        <v>90</v>
      </c>
      <c r="AC16" s="32">
        <v>630</v>
      </c>
      <c r="AD16" s="32">
        <v>2520</v>
      </c>
      <c r="AE16" s="24">
        <v>4</v>
      </c>
      <c r="AF16" s="24">
        <v>1</v>
      </c>
      <c r="AG16" s="23">
        <v>1</v>
      </c>
      <c r="AH16" s="24">
        <v>1</v>
      </c>
      <c r="AI16" s="24">
        <v>1</v>
      </c>
      <c r="AJ16" s="24">
        <f>ROUND(IF(G16="Sniper", SniperRefAngle/Database!AF16, RefAngle/Database!AE16) * IF(OR(E16="근접 무기", E16="투척 무기"), 0, 1) *100, 2)</f>
        <v>0</v>
      </c>
      <c r="AK16" s="24">
        <f t="shared" si="2"/>
        <v>0</v>
      </c>
      <c r="AL16" s="24">
        <f t="shared" si="3"/>
        <v>0</v>
      </c>
    </row>
    <row r="17" spans="1:38" ht="13.5" x14ac:dyDescent="0.3">
      <c r="A17" s="63">
        <v>13</v>
      </c>
      <c r="B17" s="17" t="s">
        <v>130</v>
      </c>
      <c r="C17" s="17" t="s">
        <v>145</v>
      </c>
      <c r="D17" s="17" t="s">
        <v>264</v>
      </c>
      <c r="E17" s="23" t="s">
        <v>110</v>
      </c>
      <c r="F17" s="23" t="s">
        <v>350</v>
      </c>
      <c r="G17" s="23" t="s">
        <v>135</v>
      </c>
      <c r="H17" s="23">
        <v>3</v>
      </c>
      <c r="I17" s="23">
        <v>1</v>
      </c>
      <c r="J17" s="23">
        <v>2</v>
      </c>
      <c r="K17" s="23">
        <v>3</v>
      </c>
      <c r="L17" s="29">
        <f t="shared" si="4"/>
        <v>2</v>
      </c>
      <c r="M17" s="29">
        <f t="shared" si="0"/>
        <v>3</v>
      </c>
      <c r="N17" s="70">
        <v>1</v>
      </c>
      <c r="O17" s="23">
        <v>83</v>
      </c>
      <c r="P17" s="53">
        <v>999</v>
      </c>
      <c r="Q17" s="30">
        <f t="shared" si="1"/>
        <v>6.006006006006006E-2</v>
      </c>
      <c r="R17" s="53">
        <v>5</v>
      </c>
      <c r="S17" s="23">
        <v>30</v>
      </c>
      <c r="T17" s="23">
        <v>12</v>
      </c>
      <c r="U17" s="23"/>
      <c r="V17" s="31" t="s">
        <v>204</v>
      </c>
      <c r="W17" s="60" t="s">
        <v>223</v>
      </c>
      <c r="X17" s="23">
        <v>1</v>
      </c>
      <c r="Y17" s="46">
        <v>10</v>
      </c>
      <c r="Z17" s="46">
        <v>4</v>
      </c>
      <c r="AA17" s="32">
        <v>50</v>
      </c>
      <c r="AB17" s="32"/>
      <c r="AC17" s="32"/>
      <c r="AD17" s="32"/>
      <c r="AE17" s="24">
        <v>20.21</v>
      </c>
      <c r="AF17" s="24">
        <v>10</v>
      </c>
      <c r="AG17" s="23">
        <v>0.7</v>
      </c>
      <c r="AH17" s="24">
        <v>1.2</v>
      </c>
      <c r="AI17" s="24">
        <v>1.5</v>
      </c>
      <c r="AJ17" s="24">
        <f>ROUND(IF(G17="Sniper", SniperRefAngle/Database!AF17, RefAngle/Database!AE17) * IF(OR(E17="근접 무기", E17="투척 무기"), 0, 1) *100, 2)</f>
        <v>0</v>
      </c>
      <c r="AK17" s="24">
        <f t="shared" si="2"/>
        <v>0</v>
      </c>
      <c r="AL17" s="24">
        <f t="shared" si="3"/>
        <v>0</v>
      </c>
    </row>
    <row r="18" spans="1:38" ht="13.5" x14ac:dyDescent="0.3">
      <c r="A18" s="63">
        <v>14</v>
      </c>
      <c r="B18" s="17" t="s">
        <v>130</v>
      </c>
      <c r="C18" s="17" t="s">
        <v>142</v>
      </c>
      <c r="D18" s="17" t="s">
        <v>262</v>
      </c>
      <c r="E18" s="23" t="s">
        <v>61</v>
      </c>
      <c r="F18" s="23" t="s">
        <v>271</v>
      </c>
      <c r="G18" s="23" t="s">
        <v>134</v>
      </c>
      <c r="H18" s="23">
        <v>4</v>
      </c>
      <c r="I18" s="23">
        <v>10</v>
      </c>
      <c r="J18" s="23">
        <v>8</v>
      </c>
      <c r="K18" s="23">
        <v>10</v>
      </c>
      <c r="L18" s="29">
        <f t="shared" si="4"/>
        <v>80</v>
      </c>
      <c r="M18" s="29">
        <f t="shared" si="0"/>
        <v>100</v>
      </c>
      <c r="N18" s="70">
        <v>1</v>
      </c>
      <c r="O18" s="23">
        <v>26</v>
      </c>
      <c r="P18" s="23">
        <v>280</v>
      </c>
      <c r="Q18" s="30">
        <f t="shared" si="1"/>
        <v>0.21428571428571427</v>
      </c>
      <c r="R18" s="23">
        <v>1.8</v>
      </c>
      <c r="S18" s="23">
        <v>35</v>
      </c>
      <c r="T18" s="23"/>
      <c r="U18" s="23"/>
      <c r="V18" s="31" t="s">
        <v>250</v>
      </c>
      <c r="W18" s="60" t="s">
        <v>224</v>
      </c>
      <c r="X18" s="23">
        <v>1</v>
      </c>
      <c r="Y18" s="46"/>
      <c r="Z18" s="46"/>
      <c r="AA18" s="32"/>
      <c r="AB18" s="32">
        <v>50</v>
      </c>
      <c r="AC18" s="32">
        <v>350</v>
      </c>
      <c r="AD18" s="32">
        <v>1400</v>
      </c>
      <c r="AE18" s="24">
        <v>4.3</v>
      </c>
      <c r="AF18" s="24">
        <v>1</v>
      </c>
      <c r="AG18" s="23">
        <v>0.8</v>
      </c>
      <c r="AH18" s="24">
        <v>1.5</v>
      </c>
      <c r="AI18" s="24">
        <v>1.9</v>
      </c>
      <c r="AJ18" s="24">
        <f>ROUND(IF(G18="Sniper", SniperRefAngle/Database!AF18, RefAngle/Database!AE18) * IF(OR(E18="근접 무기", E18="투척 무기"), 0, 1) *100, 2)</f>
        <v>69.77</v>
      </c>
      <c r="AK18" s="24">
        <f t="shared" si="2"/>
        <v>69.77</v>
      </c>
      <c r="AL18" s="24">
        <f t="shared" si="3"/>
        <v>99.62</v>
      </c>
    </row>
    <row r="19" spans="1:38" ht="13.5" x14ac:dyDescent="0.3">
      <c r="A19" s="63">
        <v>15</v>
      </c>
      <c r="B19" s="17" t="s">
        <v>130</v>
      </c>
      <c r="C19" s="17" t="s">
        <v>296</v>
      </c>
      <c r="D19" s="17" t="s">
        <v>262</v>
      </c>
      <c r="E19" s="23" t="s">
        <v>61</v>
      </c>
      <c r="F19" s="23" t="s">
        <v>271</v>
      </c>
      <c r="G19" s="23" t="s">
        <v>134</v>
      </c>
      <c r="H19" s="23">
        <v>1</v>
      </c>
      <c r="I19" s="23">
        <v>10</v>
      </c>
      <c r="J19" s="23">
        <v>8</v>
      </c>
      <c r="K19" s="23">
        <v>10</v>
      </c>
      <c r="L19" s="29">
        <f t="shared" si="4"/>
        <v>80</v>
      </c>
      <c r="M19" s="29">
        <f t="shared" si="0"/>
        <v>100</v>
      </c>
      <c r="N19" s="70">
        <v>1</v>
      </c>
      <c r="O19" s="23">
        <v>18</v>
      </c>
      <c r="P19" s="23">
        <v>200</v>
      </c>
      <c r="Q19" s="30">
        <f t="shared" si="1"/>
        <v>0.3</v>
      </c>
      <c r="R19" s="23">
        <v>1.4</v>
      </c>
      <c r="S19" s="23">
        <v>50</v>
      </c>
      <c r="T19" s="23"/>
      <c r="U19" s="23"/>
      <c r="V19" s="31" t="s">
        <v>298</v>
      </c>
      <c r="W19" s="60" t="s">
        <v>225</v>
      </c>
      <c r="X19" s="23">
        <v>1</v>
      </c>
      <c r="Y19" s="46"/>
      <c r="Z19" s="46"/>
      <c r="AA19" s="32"/>
      <c r="AB19" s="32"/>
      <c r="AC19" s="32"/>
      <c r="AD19" s="32"/>
      <c r="AE19" s="24">
        <v>4.5999999999999996</v>
      </c>
      <c r="AF19" s="24">
        <v>1</v>
      </c>
      <c r="AG19" s="23">
        <v>0.8</v>
      </c>
      <c r="AH19" s="24">
        <v>1.4</v>
      </c>
      <c r="AI19" s="24">
        <v>1.8</v>
      </c>
      <c r="AJ19" s="24">
        <f>ROUND(IF(G19="Sniper", SniperRefAngle/Database!AF19, RefAngle/Database!AE19) * IF(OR(E19="근접 무기", E19="투척 무기"), 0, 1) *100, 2)</f>
        <v>65.22</v>
      </c>
      <c r="AK19" s="24">
        <f t="shared" si="2"/>
        <v>65.22</v>
      </c>
      <c r="AL19" s="24">
        <f t="shared" si="3"/>
        <v>97.04</v>
      </c>
    </row>
    <row r="20" spans="1:38" ht="13.5" x14ac:dyDescent="0.3">
      <c r="A20" s="63">
        <v>16</v>
      </c>
      <c r="B20" s="17" t="s">
        <v>130</v>
      </c>
      <c r="C20" s="17" t="s">
        <v>297</v>
      </c>
      <c r="D20" s="17" t="s">
        <v>262</v>
      </c>
      <c r="E20" s="23" t="s">
        <v>61</v>
      </c>
      <c r="F20" s="23" t="s">
        <v>271</v>
      </c>
      <c r="G20" s="23" t="s">
        <v>134</v>
      </c>
      <c r="H20" s="23">
        <v>5</v>
      </c>
      <c r="I20" s="23">
        <v>6</v>
      </c>
      <c r="J20" s="23">
        <v>9</v>
      </c>
      <c r="K20" s="23">
        <v>10</v>
      </c>
      <c r="L20" s="29">
        <f t="shared" si="4"/>
        <v>54</v>
      </c>
      <c r="M20" s="29">
        <f t="shared" si="0"/>
        <v>60</v>
      </c>
      <c r="N20" s="70">
        <v>1</v>
      </c>
      <c r="O20" s="23">
        <v>31</v>
      </c>
      <c r="P20" s="23">
        <v>150</v>
      </c>
      <c r="Q20" s="30">
        <f t="shared" si="1"/>
        <v>0.4</v>
      </c>
      <c r="R20" s="23">
        <v>3</v>
      </c>
      <c r="S20" s="23">
        <v>50</v>
      </c>
      <c r="T20" s="23"/>
      <c r="U20" s="23"/>
      <c r="V20" s="31" t="s">
        <v>299</v>
      </c>
      <c r="W20" s="60" t="s">
        <v>226</v>
      </c>
      <c r="X20" s="23">
        <v>1</v>
      </c>
      <c r="Y20" s="46"/>
      <c r="Z20" s="46"/>
      <c r="AA20" s="32"/>
      <c r="AB20" s="32">
        <v>70</v>
      </c>
      <c r="AC20" s="32">
        <v>490</v>
      </c>
      <c r="AD20" s="32">
        <v>1960</v>
      </c>
      <c r="AE20" s="24">
        <v>4.28</v>
      </c>
      <c r="AF20" s="24">
        <v>1</v>
      </c>
      <c r="AG20" s="23">
        <v>0.8</v>
      </c>
      <c r="AH20" s="24">
        <v>1.6</v>
      </c>
      <c r="AI20" s="24">
        <v>1.9</v>
      </c>
      <c r="AJ20" s="24">
        <f>ROUND(IF(G20="Sniper", SniperRefAngle/Database!AF20, RefAngle/Database!AE20) * IF(OR(E20="근접 무기", E20="투척 무기"), 0, 1) *100, 2)</f>
        <v>70.09</v>
      </c>
      <c r="AK20" s="24">
        <f t="shared" si="2"/>
        <v>70.09</v>
      </c>
      <c r="AL20" s="24">
        <f t="shared" si="3"/>
        <v>95.11</v>
      </c>
    </row>
    <row r="21" spans="1:38" ht="13.5" x14ac:dyDescent="0.3">
      <c r="A21" s="63">
        <v>17</v>
      </c>
      <c r="B21" s="17" t="s">
        <v>130</v>
      </c>
      <c r="C21" s="17" t="s">
        <v>143</v>
      </c>
      <c r="D21" s="17" t="s">
        <v>263</v>
      </c>
      <c r="E21" s="23" t="s">
        <v>108</v>
      </c>
      <c r="F21" s="23" t="s">
        <v>271</v>
      </c>
      <c r="G21" s="23" t="s">
        <v>132</v>
      </c>
      <c r="H21" s="23">
        <v>2</v>
      </c>
      <c r="I21" s="23"/>
      <c r="J21" s="23"/>
      <c r="K21" s="23"/>
      <c r="L21" s="29">
        <f t="shared" si="4"/>
        <v>0</v>
      </c>
      <c r="M21" s="29">
        <f t="shared" si="0"/>
        <v>0</v>
      </c>
      <c r="N21" s="70">
        <v>1</v>
      </c>
      <c r="O21" s="23">
        <v>44</v>
      </c>
      <c r="P21" s="23">
        <v>200</v>
      </c>
      <c r="Q21" s="30">
        <f t="shared" si="1"/>
        <v>0.3</v>
      </c>
      <c r="R21" s="23">
        <v>0.7</v>
      </c>
      <c r="S21" s="23">
        <v>2</v>
      </c>
      <c r="T21" s="23"/>
      <c r="U21" s="23"/>
      <c r="V21" s="31" t="s">
        <v>251</v>
      </c>
      <c r="W21" s="60" t="s">
        <v>227</v>
      </c>
      <c r="X21" s="23">
        <v>1</v>
      </c>
      <c r="Y21" s="46"/>
      <c r="Z21" s="46"/>
      <c r="AA21" s="32"/>
      <c r="AB21" s="32">
        <v>30</v>
      </c>
      <c r="AC21" s="32">
        <v>210</v>
      </c>
      <c r="AD21" s="32">
        <v>840</v>
      </c>
      <c r="AE21" s="24">
        <v>4</v>
      </c>
      <c r="AF21" s="24">
        <v>1</v>
      </c>
      <c r="AG21" s="23">
        <v>1</v>
      </c>
      <c r="AH21" s="24">
        <v>1</v>
      </c>
      <c r="AI21" s="24">
        <v>1</v>
      </c>
      <c r="AJ21" s="24">
        <f>ROUND(IF(G21="Sniper", SniperRefAngle/Database!AF21, RefAngle/Database!AE21) * IF(OR(E21="근접 무기", E21="투척 무기"), 0, 1) *100, 2)</f>
        <v>0</v>
      </c>
      <c r="AK21" s="24">
        <f t="shared" si="2"/>
        <v>0</v>
      </c>
      <c r="AL21" s="24">
        <f t="shared" si="3"/>
        <v>0</v>
      </c>
    </row>
    <row r="22" spans="1:38" ht="13.5" x14ac:dyDescent="0.3">
      <c r="A22" s="63">
        <v>18</v>
      </c>
      <c r="B22" s="17" t="s">
        <v>130</v>
      </c>
      <c r="C22" s="52" t="s">
        <v>300</v>
      </c>
      <c r="D22" s="17" t="s">
        <v>261</v>
      </c>
      <c r="E22" s="23" t="s">
        <v>64</v>
      </c>
      <c r="F22" s="23" t="s">
        <v>271</v>
      </c>
      <c r="G22" s="23" t="s">
        <v>167</v>
      </c>
      <c r="H22" s="23">
        <v>3</v>
      </c>
      <c r="I22" s="23">
        <v>6</v>
      </c>
      <c r="J22" s="23">
        <v>8</v>
      </c>
      <c r="K22" s="23">
        <v>20</v>
      </c>
      <c r="L22" s="29">
        <f t="shared" si="4"/>
        <v>48</v>
      </c>
      <c r="M22" s="29">
        <f t="shared" si="0"/>
        <v>120</v>
      </c>
      <c r="N22" s="70">
        <v>8</v>
      </c>
      <c r="O22" s="23">
        <v>18</v>
      </c>
      <c r="P22" s="23">
        <v>54</v>
      </c>
      <c r="Q22" s="30">
        <f t="shared" si="1"/>
        <v>1.1111111111111112</v>
      </c>
      <c r="R22" s="23">
        <v>4.2</v>
      </c>
      <c r="S22" s="23">
        <v>25</v>
      </c>
      <c r="T22" s="23"/>
      <c r="U22" s="23"/>
      <c r="V22" s="31" t="s">
        <v>303</v>
      </c>
      <c r="W22" s="60" t="s">
        <v>228</v>
      </c>
      <c r="X22" s="23">
        <v>1</v>
      </c>
      <c r="Y22" s="46"/>
      <c r="Z22" s="46"/>
      <c r="AA22" s="32"/>
      <c r="AB22" s="32">
        <v>70</v>
      </c>
      <c r="AC22" s="32">
        <v>490</v>
      </c>
      <c r="AD22" s="32">
        <v>1960</v>
      </c>
      <c r="AE22" s="24">
        <v>12.5</v>
      </c>
      <c r="AF22" s="24">
        <v>1</v>
      </c>
      <c r="AG22" s="23">
        <v>0.9</v>
      </c>
      <c r="AH22" s="24">
        <v>1.4</v>
      </c>
      <c r="AI22" s="24">
        <v>1.7</v>
      </c>
      <c r="AJ22" s="24">
        <f>ROUND(IF(G22="Sniper", SniperRefAngle/Database!AF22, RefAngle/Database!AE22) * IF(OR(E22="근접 무기", E22="투척 무기"), 0, 1) *100, 2)</f>
        <v>24</v>
      </c>
      <c r="AK22" s="24">
        <f>ROUND((1 - POWER(1-AJ22/100,N22)) * 100,2)</f>
        <v>88.87</v>
      </c>
      <c r="AL22" s="24">
        <f t="shared" si="3"/>
        <v>86.14</v>
      </c>
    </row>
    <row r="23" spans="1:38" ht="13.5" x14ac:dyDescent="0.3">
      <c r="A23" s="63">
        <v>19</v>
      </c>
      <c r="B23" s="17" t="s">
        <v>130</v>
      </c>
      <c r="C23" s="17" t="s">
        <v>301</v>
      </c>
      <c r="D23" s="17" t="s">
        <v>261</v>
      </c>
      <c r="E23" s="23" t="s">
        <v>71</v>
      </c>
      <c r="F23" s="23" t="s">
        <v>271</v>
      </c>
      <c r="G23" s="23" t="s">
        <v>150</v>
      </c>
      <c r="H23" s="23">
        <v>4</v>
      </c>
      <c r="I23" s="23">
        <v>8</v>
      </c>
      <c r="J23" s="23">
        <v>5</v>
      </c>
      <c r="K23" s="23">
        <v>10</v>
      </c>
      <c r="L23" s="29">
        <f t="shared" si="4"/>
        <v>40</v>
      </c>
      <c r="M23" s="29">
        <f t="shared" si="0"/>
        <v>80</v>
      </c>
      <c r="N23" s="70">
        <v>1</v>
      </c>
      <c r="O23" s="23">
        <v>86</v>
      </c>
      <c r="P23" s="23">
        <v>48</v>
      </c>
      <c r="Q23" s="30">
        <f t="shared" si="1"/>
        <v>1.25</v>
      </c>
      <c r="R23" s="23">
        <v>2.4</v>
      </c>
      <c r="S23" s="23">
        <v>600</v>
      </c>
      <c r="T23" s="23"/>
      <c r="U23" s="23"/>
      <c r="V23" s="31" t="s">
        <v>304</v>
      </c>
      <c r="W23" s="60" t="s">
        <v>229</v>
      </c>
      <c r="X23" s="23">
        <v>1</v>
      </c>
      <c r="Y23" s="46"/>
      <c r="Z23" s="46"/>
      <c r="AA23" s="32"/>
      <c r="AB23" s="32">
        <v>70</v>
      </c>
      <c r="AC23" s="32">
        <v>490</v>
      </c>
      <c r="AD23" s="32">
        <v>1960</v>
      </c>
      <c r="AE23" s="24">
        <v>5.6</v>
      </c>
      <c r="AF23" s="24">
        <v>0.10050000000000001</v>
      </c>
      <c r="AG23" s="23">
        <v>0.8</v>
      </c>
      <c r="AH23" s="24">
        <v>1.5</v>
      </c>
      <c r="AI23" s="24">
        <v>3</v>
      </c>
      <c r="AJ23" s="24">
        <f>ROUND(IF(G23="Sniper", SniperRefAngle/Database!AF23, RefAngle/Database!AE23) * IF(OR(E23="근접 무기", E23="투척 무기"), 0, 1) *100, 2)</f>
        <v>97.41</v>
      </c>
      <c r="AK23" s="24">
        <f t="shared" si="2"/>
        <v>97.41</v>
      </c>
      <c r="AL23" s="24">
        <f t="shared" si="3"/>
        <v>94.62</v>
      </c>
    </row>
    <row r="24" spans="1:38" ht="13.5" x14ac:dyDescent="0.3">
      <c r="A24" s="63">
        <v>20</v>
      </c>
      <c r="B24" s="17" t="s">
        <v>130</v>
      </c>
      <c r="C24" s="17" t="s">
        <v>302</v>
      </c>
      <c r="D24" s="17" t="s">
        <v>261</v>
      </c>
      <c r="E24" s="23" t="s">
        <v>127</v>
      </c>
      <c r="F24" s="23" t="s">
        <v>271</v>
      </c>
      <c r="G24" s="23" t="s">
        <v>134</v>
      </c>
      <c r="H24" s="23">
        <v>2</v>
      </c>
      <c r="I24" s="23">
        <v>30</v>
      </c>
      <c r="J24" s="23">
        <v>7</v>
      </c>
      <c r="K24" s="23">
        <v>10</v>
      </c>
      <c r="L24" s="29">
        <f t="shared" si="4"/>
        <v>210</v>
      </c>
      <c r="M24" s="29">
        <f t="shared" si="0"/>
        <v>300</v>
      </c>
      <c r="N24" s="70">
        <v>1</v>
      </c>
      <c r="O24" s="23">
        <v>21</v>
      </c>
      <c r="P24" s="23">
        <v>950</v>
      </c>
      <c r="Q24" s="30">
        <f t="shared" si="1"/>
        <v>6.3157894736842107E-2</v>
      </c>
      <c r="R24" s="23">
        <v>2.1</v>
      </c>
      <c r="S24" s="23">
        <v>100</v>
      </c>
      <c r="T24" s="23"/>
      <c r="U24" s="23"/>
      <c r="V24" s="31" t="s">
        <v>305</v>
      </c>
      <c r="W24" s="60" t="s">
        <v>230</v>
      </c>
      <c r="X24" s="23">
        <v>1</v>
      </c>
      <c r="Y24" s="46"/>
      <c r="Z24" s="46"/>
      <c r="AA24" s="32"/>
      <c r="AB24" s="32">
        <v>30</v>
      </c>
      <c r="AC24" s="32">
        <v>210</v>
      </c>
      <c r="AD24" s="32">
        <v>840</v>
      </c>
      <c r="AE24" s="24">
        <v>3.7</v>
      </c>
      <c r="AF24" s="24">
        <v>1</v>
      </c>
      <c r="AG24" s="23">
        <v>0.8</v>
      </c>
      <c r="AH24" s="24">
        <v>1.5</v>
      </c>
      <c r="AI24" s="24">
        <v>3</v>
      </c>
      <c r="AJ24" s="24">
        <f>ROUND(IF(G24="Sniper", SniperRefAngle/Database!AF24, RefAngle/Database!AE24) * IF(OR(E24="근접 무기", E24="투척 무기"), 0, 1) *100, 2)</f>
        <v>81.08</v>
      </c>
      <c r="AK24" s="24">
        <f t="shared" si="2"/>
        <v>81.08</v>
      </c>
      <c r="AL24" s="24">
        <f t="shared" si="3"/>
        <v>100</v>
      </c>
    </row>
    <row r="25" spans="1:38" ht="13.5" x14ac:dyDescent="0.3">
      <c r="A25" s="63">
        <v>21</v>
      </c>
      <c r="B25" s="17" t="s">
        <v>130</v>
      </c>
      <c r="C25" s="17" t="s">
        <v>140</v>
      </c>
      <c r="D25" s="17" t="s">
        <v>263</v>
      </c>
      <c r="E25" s="23" t="s">
        <v>108</v>
      </c>
      <c r="F25" s="23" t="s">
        <v>271</v>
      </c>
      <c r="G25" s="23" t="s">
        <v>132</v>
      </c>
      <c r="H25" s="23">
        <v>3</v>
      </c>
      <c r="I25" s="23"/>
      <c r="J25" s="23"/>
      <c r="K25" s="23"/>
      <c r="L25" s="29">
        <f t="shared" si="4"/>
        <v>0</v>
      </c>
      <c r="M25" s="29">
        <f t="shared" si="0"/>
        <v>0</v>
      </c>
      <c r="N25" s="70">
        <v>1</v>
      </c>
      <c r="O25" s="23">
        <v>48</v>
      </c>
      <c r="P25" s="23">
        <v>80</v>
      </c>
      <c r="Q25" s="30">
        <f t="shared" si="1"/>
        <v>0.75</v>
      </c>
      <c r="R25" s="23">
        <v>2</v>
      </c>
      <c r="S25" s="23">
        <v>2</v>
      </c>
      <c r="T25" s="23"/>
      <c r="U25" s="23"/>
      <c r="V25" s="31" t="s">
        <v>254</v>
      </c>
      <c r="W25" s="60" t="s">
        <v>231</v>
      </c>
      <c r="X25" s="23">
        <v>1</v>
      </c>
      <c r="Y25" s="46"/>
      <c r="Z25" s="46"/>
      <c r="AA25" s="32"/>
      <c r="AB25" s="32">
        <v>50</v>
      </c>
      <c r="AC25" s="32">
        <v>350</v>
      </c>
      <c r="AD25" s="32">
        <v>1400</v>
      </c>
      <c r="AE25" s="24">
        <v>4</v>
      </c>
      <c r="AF25" s="24">
        <v>1</v>
      </c>
      <c r="AG25" s="23">
        <v>1</v>
      </c>
      <c r="AH25" s="24">
        <v>1</v>
      </c>
      <c r="AI25" s="24">
        <v>1</v>
      </c>
      <c r="AJ25" s="24">
        <f>ROUND(IF(G25="Sniper", SniperRefAngle/Database!AF25, RefAngle/Database!AE25) * IF(OR(E25="근접 무기", E25="투척 무기"), 0, 1) *100, 2)</f>
        <v>0</v>
      </c>
      <c r="AK25" s="24">
        <f t="shared" si="2"/>
        <v>0</v>
      </c>
      <c r="AL25" s="24">
        <f t="shared" si="3"/>
        <v>0</v>
      </c>
    </row>
    <row r="26" spans="1:38" ht="13.5" x14ac:dyDescent="0.3">
      <c r="A26" s="63">
        <v>22</v>
      </c>
      <c r="B26" s="34" t="s">
        <v>130</v>
      </c>
      <c r="C26" s="41" t="s">
        <v>306</v>
      </c>
      <c r="D26" s="17" t="s">
        <v>261</v>
      </c>
      <c r="E26" s="35" t="s">
        <v>64</v>
      </c>
      <c r="F26" s="35" t="s">
        <v>271</v>
      </c>
      <c r="G26" s="35" t="s">
        <v>133</v>
      </c>
      <c r="H26" s="35">
        <v>7</v>
      </c>
      <c r="I26" s="35">
        <v>6</v>
      </c>
      <c r="J26" s="35">
        <v>1</v>
      </c>
      <c r="K26" s="35">
        <v>2</v>
      </c>
      <c r="L26" s="36">
        <f t="shared" si="4"/>
        <v>6</v>
      </c>
      <c r="M26" s="36">
        <f t="shared" si="0"/>
        <v>12</v>
      </c>
      <c r="N26" s="64">
        <v>1</v>
      </c>
      <c r="O26" s="35">
        <v>180</v>
      </c>
      <c r="P26" s="35">
        <v>40</v>
      </c>
      <c r="Q26" s="37">
        <f t="shared" si="1"/>
        <v>1.5</v>
      </c>
      <c r="R26" s="35">
        <v>5</v>
      </c>
      <c r="S26" s="35">
        <v>110</v>
      </c>
      <c r="T26" s="35"/>
      <c r="U26" s="35"/>
      <c r="V26" s="38" t="s">
        <v>309</v>
      </c>
      <c r="W26" s="61" t="s">
        <v>232</v>
      </c>
      <c r="X26" s="35"/>
      <c r="Y26" s="47"/>
      <c r="Z26" s="47"/>
      <c r="AA26" s="39"/>
      <c r="AB26" s="39"/>
      <c r="AC26" s="39"/>
      <c r="AD26" s="39"/>
      <c r="AE26" s="40">
        <v>4.21</v>
      </c>
      <c r="AF26" s="40">
        <v>1</v>
      </c>
      <c r="AG26" s="35">
        <v>0.9</v>
      </c>
      <c r="AH26" s="40">
        <v>2.5</v>
      </c>
      <c r="AI26" s="40">
        <v>2.5</v>
      </c>
      <c r="AJ26" s="40">
        <f>ROUND(IF(G26="Sniper", SniperRefAngle/Database!AF26, RefAngle/Database!AE26) * IF(OR(E26="근접 무기", E26="투척 무기"), 0, 1) *100, 2)</f>
        <v>71.260000000000005</v>
      </c>
      <c r="AK26" s="40">
        <f t="shared" si="2"/>
        <v>71.260000000000005</v>
      </c>
      <c r="AL26" s="40">
        <f t="shared" si="3"/>
        <v>56.45</v>
      </c>
    </row>
    <row r="27" spans="1:38" ht="13.5" x14ac:dyDescent="0.3">
      <c r="A27" s="63">
        <v>23</v>
      </c>
      <c r="B27" s="17" t="s">
        <v>130</v>
      </c>
      <c r="C27" s="52" t="s">
        <v>307</v>
      </c>
      <c r="D27" s="17" t="s">
        <v>261</v>
      </c>
      <c r="E27" s="23" t="s">
        <v>68</v>
      </c>
      <c r="F27" s="23" t="s">
        <v>271</v>
      </c>
      <c r="G27" s="23" t="s">
        <v>134</v>
      </c>
      <c r="H27" s="23">
        <v>4</v>
      </c>
      <c r="I27" s="23">
        <v>30</v>
      </c>
      <c r="J27" s="23">
        <v>5</v>
      </c>
      <c r="K27" s="23">
        <v>10</v>
      </c>
      <c r="L27" s="29">
        <f t="shared" si="4"/>
        <v>150</v>
      </c>
      <c r="M27" s="29">
        <f t="shared" si="0"/>
        <v>300</v>
      </c>
      <c r="N27" s="70">
        <v>1</v>
      </c>
      <c r="O27" s="23">
        <v>24</v>
      </c>
      <c r="P27" s="23">
        <v>660</v>
      </c>
      <c r="Q27" s="30">
        <f t="shared" si="1"/>
        <v>9.0909090909090912E-2</v>
      </c>
      <c r="R27" s="23">
        <v>2.4</v>
      </c>
      <c r="S27" s="23">
        <v>350</v>
      </c>
      <c r="T27" s="23"/>
      <c r="U27" s="23"/>
      <c r="V27" s="31" t="s">
        <v>310</v>
      </c>
      <c r="W27" s="60" t="s">
        <v>233</v>
      </c>
      <c r="X27" s="23">
        <v>1</v>
      </c>
      <c r="Y27" s="46"/>
      <c r="Z27" s="46"/>
      <c r="AA27" s="32"/>
      <c r="AB27" s="32">
        <v>70</v>
      </c>
      <c r="AC27" s="32">
        <v>490</v>
      </c>
      <c r="AD27" s="32">
        <v>1960</v>
      </c>
      <c r="AE27" s="24">
        <v>3.5</v>
      </c>
      <c r="AF27" s="59">
        <v>1</v>
      </c>
      <c r="AG27" s="23">
        <v>0.8</v>
      </c>
      <c r="AH27" s="24">
        <v>1.7</v>
      </c>
      <c r="AI27" s="24">
        <v>3.3</v>
      </c>
      <c r="AJ27" s="24">
        <f>ROUND(IF(G27="Sniper", SniperRefAngle/Database!AF27, RefAngle/Database!AE27) * IF(OR(E27="근접 무기", E27="투척 무기"), 0, 1) *100, 2)</f>
        <v>85.71</v>
      </c>
      <c r="AK27" s="24">
        <f t="shared" si="2"/>
        <v>85.71</v>
      </c>
      <c r="AL27" s="24">
        <f t="shared" si="3"/>
        <v>100</v>
      </c>
    </row>
    <row r="28" spans="1:38" ht="13.5" x14ac:dyDescent="0.3">
      <c r="A28" s="63">
        <v>24</v>
      </c>
      <c r="B28" s="17" t="s">
        <v>130</v>
      </c>
      <c r="C28" s="17" t="s">
        <v>308</v>
      </c>
      <c r="D28" s="17" t="s">
        <v>261</v>
      </c>
      <c r="E28" s="23" t="s">
        <v>71</v>
      </c>
      <c r="F28" s="23" t="s">
        <v>271</v>
      </c>
      <c r="G28" s="23" t="s">
        <v>150</v>
      </c>
      <c r="H28" s="23">
        <v>3</v>
      </c>
      <c r="I28" s="23">
        <v>8</v>
      </c>
      <c r="J28" s="23">
        <v>5</v>
      </c>
      <c r="K28" s="23">
        <v>10</v>
      </c>
      <c r="L28" s="29">
        <f t="shared" si="4"/>
        <v>40</v>
      </c>
      <c r="M28" s="29">
        <f t="shared" si="0"/>
        <v>80</v>
      </c>
      <c r="N28" s="70">
        <v>1</v>
      </c>
      <c r="O28" s="23">
        <v>85</v>
      </c>
      <c r="P28" s="23">
        <v>55</v>
      </c>
      <c r="Q28" s="30">
        <f t="shared" si="1"/>
        <v>1.0909090909090908</v>
      </c>
      <c r="R28" s="23">
        <v>2.4</v>
      </c>
      <c r="S28" s="23">
        <v>600</v>
      </c>
      <c r="T28" s="23"/>
      <c r="U28" s="23"/>
      <c r="V28" s="31" t="s">
        <v>311</v>
      </c>
      <c r="W28" s="60" t="s">
        <v>234</v>
      </c>
      <c r="X28" s="23">
        <v>1</v>
      </c>
      <c r="Y28" s="46"/>
      <c r="Z28" s="46"/>
      <c r="AA28" s="32"/>
      <c r="AB28" s="32">
        <v>50</v>
      </c>
      <c r="AC28" s="32">
        <v>350</v>
      </c>
      <c r="AD28" s="32">
        <v>1400</v>
      </c>
      <c r="AE28" s="24">
        <v>5.5</v>
      </c>
      <c r="AF28" s="24">
        <v>0.10100000000000001</v>
      </c>
      <c r="AG28" s="23">
        <v>0.8</v>
      </c>
      <c r="AH28" s="24">
        <v>1.4</v>
      </c>
      <c r="AI28" s="24">
        <v>2.7</v>
      </c>
      <c r="AJ28" s="24">
        <f>ROUND(IF(G28="Sniper", SniperRefAngle/Database!AF28, RefAngle/Database!AE28) * IF(OR(E28="근접 무기", E28="투척 무기"), 0, 1) *100, 2)</f>
        <v>96.93</v>
      </c>
      <c r="AK28" s="24">
        <f t="shared" si="2"/>
        <v>96.93</v>
      </c>
      <c r="AL28" s="24">
        <f t="shared" si="3"/>
        <v>95.9</v>
      </c>
    </row>
    <row r="29" spans="1:38" ht="13.5" x14ac:dyDescent="0.3">
      <c r="A29" s="63">
        <v>25</v>
      </c>
      <c r="B29" s="17" t="s">
        <v>136</v>
      </c>
      <c r="C29" s="52" t="s">
        <v>146</v>
      </c>
      <c r="D29" s="17" t="s">
        <v>261</v>
      </c>
      <c r="E29" s="23" t="s">
        <v>68</v>
      </c>
      <c r="F29" s="23" t="s">
        <v>271</v>
      </c>
      <c r="G29" s="23" t="s">
        <v>134</v>
      </c>
      <c r="H29" s="23">
        <v>3</v>
      </c>
      <c r="I29" s="23">
        <v>30</v>
      </c>
      <c r="J29" s="23">
        <v>5</v>
      </c>
      <c r="K29" s="23">
        <v>10</v>
      </c>
      <c r="L29" s="29">
        <f t="shared" si="4"/>
        <v>150</v>
      </c>
      <c r="M29" s="29">
        <f t="shared" si="0"/>
        <v>300</v>
      </c>
      <c r="N29" s="70">
        <v>1</v>
      </c>
      <c r="O29" s="23">
        <v>23</v>
      </c>
      <c r="P29" s="23">
        <v>700</v>
      </c>
      <c r="Q29" s="30">
        <f t="shared" si="1"/>
        <v>8.5714285714285715E-2</v>
      </c>
      <c r="R29" s="23">
        <v>2.2999999999999998</v>
      </c>
      <c r="S29" s="23">
        <v>330</v>
      </c>
      <c r="T29" s="23"/>
      <c r="U29" s="23"/>
      <c r="V29" s="31" t="s">
        <v>197</v>
      </c>
      <c r="W29" s="60" t="s">
        <v>235</v>
      </c>
      <c r="X29" s="23">
        <v>1</v>
      </c>
      <c r="Y29" s="46"/>
      <c r="Z29" s="46"/>
      <c r="AA29" s="32"/>
      <c r="AB29" s="32">
        <v>50</v>
      </c>
      <c r="AC29" s="32">
        <v>350</v>
      </c>
      <c r="AD29" s="32">
        <v>1400</v>
      </c>
      <c r="AE29" s="24">
        <v>3.6</v>
      </c>
      <c r="AF29" s="59">
        <v>1</v>
      </c>
      <c r="AG29" s="23">
        <v>0.8</v>
      </c>
      <c r="AH29" s="24">
        <v>1.4</v>
      </c>
      <c r="AI29" s="24">
        <v>3.2</v>
      </c>
      <c r="AJ29" s="24">
        <f>ROUND(IF(G29="Sniper", SniperRefAngle/Database!AF29, RefAngle/Database!AE29) * IF(OR(E29="근접 무기", E29="투척 무기"), 0, 1) *100, 2)</f>
        <v>83.33</v>
      </c>
      <c r="AK29" s="24">
        <f t="shared" si="2"/>
        <v>83.33</v>
      </c>
      <c r="AL29" s="24">
        <f t="shared" si="3"/>
        <v>100</v>
      </c>
    </row>
    <row r="30" spans="1:38" ht="13.5" x14ac:dyDescent="0.3">
      <c r="A30" s="63">
        <v>26</v>
      </c>
      <c r="B30" s="17" t="s">
        <v>136</v>
      </c>
      <c r="C30" s="52" t="s">
        <v>312</v>
      </c>
      <c r="D30" s="17" t="s">
        <v>261</v>
      </c>
      <c r="E30" s="23" t="s">
        <v>127</v>
      </c>
      <c r="F30" s="23" t="s">
        <v>271</v>
      </c>
      <c r="G30" s="23" t="s">
        <v>134</v>
      </c>
      <c r="H30" s="23">
        <v>4</v>
      </c>
      <c r="I30" s="23">
        <v>30</v>
      </c>
      <c r="J30" s="23">
        <v>7</v>
      </c>
      <c r="K30" s="23">
        <v>10</v>
      </c>
      <c r="L30" s="29">
        <f t="shared" si="4"/>
        <v>210</v>
      </c>
      <c r="M30" s="29">
        <f t="shared" si="0"/>
        <v>300</v>
      </c>
      <c r="N30" s="70">
        <v>1</v>
      </c>
      <c r="O30" s="23">
        <v>22</v>
      </c>
      <c r="P30" s="23">
        <v>830</v>
      </c>
      <c r="Q30" s="30">
        <f t="shared" si="1"/>
        <v>7.2289156626506021E-2</v>
      </c>
      <c r="R30" s="23">
        <v>2.1</v>
      </c>
      <c r="S30" s="23">
        <v>100</v>
      </c>
      <c r="T30" s="23"/>
      <c r="U30" s="23"/>
      <c r="V30" s="31" t="s">
        <v>315</v>
      </c>
      <c r="W30" s="60" t="s">
        <v>236</v>
      </c>
      <c r="X30" s="23">
        <v>1</v>
      </c>
      <c r="Y30" s="46"/>
      <c r="Z30" s="46"/>
      <c r="AA30" s="32"/>
      <c r="AB30" s="32">
        <v>70</v>
      </c>
      <c r="AC30" s="32">
        <v>490</v>
      </c>
      <c r="AD30" s="32">
        <v>1960</v>
      </c>
      <c r="AE30" s="24">
        <v>3.6</v>
      </c>
      <c r="AF30" s="24">
        <v>1</v>
      </c>
      <c r="AG30" s="23">
        <v>0.8</v>
      </c>
      <c r="AH30" s="24">
        <v>1.6</v>
      </c>
      <c r="AI30" s="24">
        <v>3.2</v>
      </c>
      <c r="AJ30" s="24">
        <f>ROUND(IF(G30="Sniper", SniperRefAngle/Database!AF30, RefAngle/Database!AE30) * IF(OR(E30="근접 무기", E30="투척 무기"), 0, 1) *100, 2)</f>
        <v>83.33</v>
      </c>
      <c r="AK30" s="24">
        <f t="shared" si="2"/>
        <v>83.33</v>
      </c>
      <c r="AL30" s="24">
        <f t="shared" si="3"/>
        <v>100</v>
      </c>
    </row>
    <row r="31" spans="1:38" ht="13.5" x14ac:dyDescent="0.3">
      <c r="A31" s="63">
        <v>27</v>
      </c>
      <c r="B31" s="17" t="s">
        <v>136</v>
      </c>
      <c r="C31" s="17" t="s">
        <v>313</v>
      </c>
      <c r="D31" s="17" t="s">
        <v>262</v>
      </c>
      <c r="E31" s="23" t="s">
        <v>61</v>
      </c>
      <c r="F31" s="23" t="s">
        <v>271</v>
      </c>
      <c r="G31" s="23" t="s">
        <v>134</v>
      </c>
      <c r="H31" s="23">
        <v>6</v>
      </c>
      <c r="I31" s="23">
        <v>19</v>
      </c>
      <c r="J31" s="23">
        <v>5</v>
      </c>
      <c r="K31" s="23">
        <v>10</v>
      </c>
      <c r="L31" s="29">
        <f t="shared" si="4"/>
        <v>95</v>
      </c>
      <c r="M31" s="29">
        <f t="shared" si="0"/>
        <v>190</v>
      </c>
      <c r="N31" s="70">
        <v>1</v>
      </c>
      <c r="O31" s="23">
        <v>20</v>
      </c>
      <c r="P31" s="23">
        <v>320</v>
      </c>
      <c r="Q31" s="30">
        <f t="shared" si="1"/>
        <v>0.1875</v>
      </c>
      <c r="R31" s="23">
        <v>1.6</v>
      </c>
      <c r="S31" s="23">
        <v>50</v>
      </c>
      <c r="T31" s="23"/>
      <c r="U31" s="23"/>
      <c r="V31" s="31" t="s">
        <v>316</v>
      </c>
      <c r="W31" s="60" t="s">
        <v>237</v>
      </c>
      <c r="X31" s="23">
        <v>1</v>
      </c>
      <c r="Y31" s="46"/>
      <c r="Z31" s="46"/>
      <c r="AA31" s="32"/>
      <c r="AB31" s="32">
        <v>90</v>
      </c>
      <c r="AC31" s="32">
        <v>630</v>
      </c>
      <c r="AD31" s="32">
        <v>2520</v>
      </c>
      <c r="AE31" s="24">
        <v>4.3</v>
      </c>
      <c r="AF31" s="24">
        <v>1</v>
      </c>
      <c r="AG31" s="23">
        <v>0.8</v>
      </c>
      <c r="AH31" s="24">
        <v>1.4</v>
      </c>
      <c r="AI31" s="24">
        <v>1.8</v>
      </c>
      <c r="AJ31" s="24">
        <f>ROUND(IF(G31="Sniper", SniperRefAngle/Database!AF31, RefAngle/Database!AE31) * IF(OR(E31="근접 무기", E31="투척 무기"), 0, 1) *100, 2)</f>
        <v>69.77</v>
      </c>
      <c r="AK31" s="24">
        <f t="shared" si="2"/>
        <v>69.77</v>
      </c>
      <c r="AL31" s="24">
        <f t="shared" si="3"/>
        <v>99.83</v>
      </c>
    </row>
    <row r="32" spans="1:38" ht="13.5" x14ac:dyDescent="0.3">
      <c r="A32" s="63">
        <v>28</v>
      </c>
      <c r="B32" s="17" t="s">
        <v>136</v>
      </c>
      <c r="C32" s="17" t="s">
        <v>314</v>
      </c>
      <c r="D32" s="17" t="s">
        <v>261</v>
      </c>
      <c r="E32" s="23" t="s">
        <v>64</v>
      </c>
      <c r="F32" s="23" t="s">
        <v>271</v>
      </c>
      <c r="G32" s="23" t="s">
        <v>167</v>
      </c>
      <c r="H32" s="23">
        <v>4</v>
      </c>
      <c r="I32" s="23">
        <v>8</v>
      </c>
      <c r="J32" s="23">
        <v>6</v>
      </c>
      <c r="K32" s="23">
        <v>10</v>
      </c>
      <c r="L32" s="29">
        <f t="shared" si="4"/>
        <v>48</v>
      </c>
      <c r="M32" s="29">
        <f t="shared" si="0"/>
        <v>80</v>
      </c>
      <c r="N32" s="70">
        <v>8</v>
      </c>
      <c r="O32" s="23">
        <v>18</v>
      </c>
      <c r="P32" s="23">
        <v>48</v>
      </c>
      <c r="Q32" s="30">
        <f t="shared" si="1"/>
        <v>1.25</v>
      </c>
      <c r="R32" s="23">
        <v>4.7</v>
      </c>
      <c r="S32" s="23">
        <v>20</v>
      </c>
      <c r="T32" s="23"/>
      <c r="U32" s="23"/>
      <c r="V32" s="31" t="s">
        <v>317</v>
      </c>
      <c r="W32" s="60" t="s">
        <v>238</v>
      </c>
      <c r="X32" s="23">
        <v>1</v>
      </c>
      <c r="Y32" s="46"/>
      <c r="Z32" s="46"/>
      <c r="AA32" s="32"/>
      <c r="AB32" s="32">
        <v>90</v>
      </c>
      <c r="AC32" s="32">
        <v>630</v>
      </c>
      <c r="AD32" s="32">
        <v>2520</v>
      </c>
      <c r="AE32" s="24">
        <v>13.2</v>
      </c>
      <c r="AF32" s="24">
        <v>1</v>
      </c>
      <c r="AG32" s="23">
        <v>0.9</v>
      </c>
      <c r="AH32" s="24">
        <v>1.7</v>
      </c>
      <c r="AI32" s="24">
        <v>1.9</v>
      </c>
      <c r="AJ32" s="24">
        <f>ROUND(IF(G32="Sniper", SniperRefAngle/Database!AF32, RefAngle/Database!AE32) * IF(OR(E32="근접 무기", E32="투척 무기"), 0, 1) *100, 2)</f>
        <v>22.73</v>
      </c>
      <c r="AK32" s="24">
        <f>ROUND((1 - POWER(1-AJ32/100,N32)) * 100,2)</f>
        <v>87.29</v>
      </c>
      <c r="AL32" s="24">
        <f t="shared" si="3"/>
        <v>80.8</v>
      </c>
    </row>
    <row r="33" spans="1:38" ht="13.5" x14ac:dyDescent="0.3">
      <c r="A33" s="63">
        <v>29</v>
      </c>
      <c r="B33" s="17" t="s">
        <v>136</v>
      </c>
      <c r="C33" s="17" t="s">
        <v>147</v>
      </c>
      <c r="D33" s="17" t="s">
        <v>261</v>
      </c>
      <c r="E33" s="23" t="s">
        <v>71</v>
      </c>
      <c r="F33" s="23" t="s">
        <v>271</v>
      </c>
      <c r="G33" s="23" t="s">
        <v>150</v>
      </c>
      <c r="H33" s="23">
        <v>2</v>
      </c>
      <c r="I33" s="23">
        <v>10</v>
      </c>
      <c r="J33" s="23">
        <v>5</v>
      </c>
      <c r="K33" s="23">
        <v>10</v>
      </c>
      <c r="L33" s="29">
        <f t="shared" si="4"/>
        <v>50</v>
      </c>
      <c r="M33" s="29">
        <f t="shared" si="0"/>
        <v>100</v>
      </c>
      <c r="N33" s="70">
        <v>1</v>
      </c>
      <c r="O33" s="23">
        <v>85</v>
      </c>
      <c r="P33" s="23">
        <v>55</v>
      </c>
      <c r="Q33" s="30">
        <f t="shared" si="1"/>
        <v>1.0909090909090908</v>
      </c>
      <c r="R33" s="23">
        <v>2.4</v>
      </c>
      <c r="S33" s="23">
        <v>600</v>
      </c>
      <c r="T33" s="23"/>
      <c r="U33" s="23"/>
      <c r="V33" s="31" t="s">
        <v>200</v>
      </c>
      <c r="W33" s="60" t="s">
        <v>239</v>
      </c>
      <c r="X33" s="23">
        <v>1</v>
      </c>
      <c r="Y33" s="46"/>
      <c r="Z33" s="46"/>
      <c r="AA33" s="32"/>
      <c r="AB33" s="32">
        <v>30</v>
      </c>
      <c r="AC33" s="32">
        <v>210</v>
      </c>
      <c r="AD33" s="32">
        <v>840</v>
      </c>
      <c r="AE33" s="24">
        <v>5.4</v>
      </c>
      <c r="AF33" s="24">
        <v>0.1</v>
      </c>
      <c r="AG33" s="23">
        <v>0.8</v>
      </c>
      <c r="AH33" s="24">
        <v>1.4</v>
      </c>
      <c r="AI33" s="24">
        <v>2.5</v>
      </c>
      <c r="AJ33" s="24">
        <f>ROUND(IF(G33="Sniper", SniperRefAngle/Database!AF33, RefAngle/Database!AE33) * IF(OR(E33="근접 무기", E33="투척 무기"), 0, 1) *100, 2)</f>
        <v>97.9</v>
      </c>
      <c r="AK33" s="24">
        <f t="shared" si="2"/>
        <v>97.9</v>
      </c>
      <c r="AL33" s="24">
        <f t="shared" si="3"/>
        <v>97.1</v>
      </c>
    </row>
    <row r="34" spans="1:38" ht="13.5" x14ac:dyDescent="0.3">
      <c r="A34" s="63">
        <v>30</v>
      </c>
      <c r="B34" s="17" t="s">
        <v>136</v>
      </c>
      <c r="C34" s="17" t="s">
        <v>318</v>
      </c>
      <c r="D34" s="17" t="s">
        <v>261</v>
      </c>
      <c r="E34" s="23" t="s">
        <v>127</v>
      </c>
      <c r="F34" s="23" t="s">
        <v>271</v>
      </c>
      <c r="G34" s="23" t="s">
        <v>134</v>
      </c>
      <c r="H34" s="23">
        <v>5</v>
      </c>
      <c r="I34" s="23">
        <v>30</v>
      </c>
      <c r="J34" s="23">
        <v>7</v>
      </c>
      <c r="K34" s="23">
        <v>10</v>
      </c>
      <c r="L34" s="29">
        <f t="shared" si="4"/>
        <v>210</v>
      </c>
      <c r="M34" s="29">
        <f t="shared" si="0"/>
        <v>300</v>
      </c>
      <c r="N34" s="70">
        <v>1</v>
      </c>
      <c r="O34" s="23">
        <v>22</v>
      </c>
      <c r="P34" s="23">
        <v>850</v>
      </c>
      <c r="Q34" s="30">
        <f t="shared" si="1"/>
        <v>7.0588235294117646E-2</v>
      </c>
      <c r="R34" s="23">
        <v>2</v>
      </c>
      <c r="S34" s="23">
        <v>100</v>
      </c>
      <c r="T34" s="23"/>
      <c r="U34" s="23"/>
      <c r="V34" s="31" t="s">
        <v>323</v>
      </c>
      <c r="W34" s="60" t="s">
        <v>240</v>
      </c>
      <c r="X34" s="23">
        <v>1</v>
      </c>
      <c r="Y34" s="46"/>
      <c r="Z34" s="46"/>
      <c r="AA34" s="32"/>
      <c r="AB34" s="32">
        <v>90</v>
      </c>
      <c r="AC34" s="32">
        <v>630</v>
      </c>
      <c r="AD34" s="32">
        <v>2520</v>
      </c>
      <c r="AE34" s="24">
        <v>3.7</v>
      </c>
      <c r="AF34" s="24">
        <v>1</v>
      </c>
      <c r="AG34" s="23">
        <v>0.8</v>
      </c>
      <c r="AH34" s="24">
        <v>1.8</v>
      </c>
      <c r="AI34" s="24">
        <v>3.3</v>
      </c>
      <c r="AJ34" s="24">
        <f>ROUND(IF(G34="Sniper", SniperRefAngle/Database!AF34, RefAngle/Database!AE34) * IF(OR(E34="근접 무기", E34="투척 무기"), 0, 1) *100, 2)</f>
        <v>81.08</v>
      </c>
      <c r="AK34" s="24">
        <f t="shared" si="2"/>
        <v>81.08</v>
      </c>
      <c r="AL34" s="24">
        <f t="shared" si="3"/>
        <v>100</v>
      </c>
    </row>
    <row r="35" spans="1:38" ht="13.5" x14ac:dyDescent="0.3">
      <c r="A35" s="63">
        <v>31</v>
      </c>
      <c r="B35" s="34" t="s">
        <v>136</v>
      </c>
      <c r="C35" s="34" t="s">
        <v>319</v>
      </c>
      <c r="D35" s="17" t="s">
        <v>261</v>
      </c>
      <c r="E35" s="35" t="s">
        <v>64</v>
      </c>
      <c r="F35" s="35" t="s">
        <v>271</v>
      </c>
      <c r="G35" s="35" t="s">
        <v>133</v>
      </c>
      <c r="H35" s="35">
        <v>6</v>
      </c>
      <c r="I35" s="35">
        <v>6</v>
      </c>
      <c r="J35" s="35">
        <v>1</v>
      </c>
      <c r="K35" s="35">
        <v>2</v>
      </c>
      <c r="L35" s="36">
        <f t="shared" si="4"/>
        <v>6</v>
      </c>
      <c r="M35" s="36">
        <f t="shared" si="0"/>
        <v>12</v>
      </c>
      <c r="N35" s="64">
        <v>1</v>
      </c>
      <c r="O35" s="35">
        <v>195</v>
      </c>
      <c r="P35" s="35">
        <v>40</v>
      </c>
      <c r="Q35" s="37">
        <f t="shared" si="1"/>
        <v>1.5</v>
      </c>
      <c r="R35" s="35">
        <v>4.5</v>
      </c>
      <c r="S35" s="35">
        <v>130</v>
      </c>
      <c r="T35" s="35"/>
      <c r="U35" s="35"/>
      <c r="V35" s="38" t="s">
        <v>324</v>
      </c>
      <c r="W35" s="61" t="s">
        <v>241</v>
      </c>
      <c r="X35" s="35"/>
      <c r="Y35" s="47"/>
      <c r="Z35" s="47"/>
      <c r="AA35" s="39"/>
      <c r="AB35" s="39"/>
      <c r="AC35" s="39"/>
      <c r="AD35" s="39"/>
      <c r="AE35" s="40">
        <v>4.21</v>
      </c>
      <c r="AF35" s="40">
        <v>1</v>
      </c>
      <c r="AG35" s="35">
        <v>0.9</v>
      </c>
      <c r="AH35" s="40">
        <v>2.5</v>
      </c>
      <c r="AI35" s="40">
        <v>2.5</v>
      </c>
      <c r="AJ35" s="40">
        <f>ROUND(IF(G35="Sniper", SniperRefAngle/Database!AF35, RefAngle/Database!AE35) * IF(OR(E35="근접 무기", E35="투척 무기"), 0, 1) *100, 2)</f>
        <v>71.260000000000005</v>
      </c>
      <c r="AK35" s="40">
        <f t="shared" si="2"/>
        <v>71.260000000000005</v>
      </c>
      <c r="AL35" s="40">
        <f t="shared" si="3"/>
        <v>56.45</v>
      </c>
    </row>
    <row r="36" spans="1:38" ht="13.5" x14ac:dyDescent="0.3">
      <c r="A36" s="63">
        <v>32</v>
      </c>
      <c r="B36" s="17" t="s">
        <v>136</v>
      </c>
      <c r="C36" s="17" t="s">
        <v>320</v>
      </c>
      <c r="D36" s="17" t="s">
        <v>261</v>
      </c>
      <c r="E36" s="23" t="s">
        <v>64</v>
      </c>
      <c r="F36" s="23" t="s">
        <v>271</v>
      </c>
      <c r="G36" s="23" t="s">
        <v>167</v>
      </c>
      <c r="H36" s="23">
        <v>2</v>
      </c>
      <c r="I36" s="23">
        <v>2</v>
      </c>
      <c r="J36" s="23">
        <v>20</v>
      </c>
      <c r="K36" s="23">
        <v>40</v>
      </c>
      <c r="L36" s="29">
        <f t="shared" si="4"/>
        <v>40</v>
      </c>
      <c r="M36" s="29">
        <f t="shared" si="0"/>
        <v>80</v>
      </c>
      <c r="N36" s="70">
        <v>8</v>
      </c>
      <c r="O36" s="23">
        <v>26</v>
      </c>
      <c r="P36" s="23">
        <v>75</v>
      </c>
      <c r="Q36" s="30">
        <f t="shared" si="1"/>
        <v>0.8</v>
      </c>
      <c r="R36" s="23">
        <v>2.2000000000000002</v>
      </c>
      <c r="S36" s="23">
        <v>20</v>
      </c>
      <c r="T36" s="23"/>
      <c r="U36" s="23"/>
      <c r="V36" s="31" t="s">
        <v>325</v>
      </c>
      <c r="W36" s="60" t="s">
        <v>242</v>
      </c>
      <c r="X36" s="23">
        <v>1</v>
      </c>
      <c r="Y36" s="46"/>
      <c r="Z36" s="46"/>
      <c r="AA36" s="32"/>
      <c r="AB36" s="32">
        <v>30</v>
      </c>
      <c r="AC36" s="32">
        <v>210</v>
      </c>
      <c r="AD36" s="32">
        <v>840</v>
      </c>
      <c r="AE36" s="24">
        <v>12</v>
      </c>
      <c r="AF36" s="71">
        <v>1</v>
      </c>
      <c r="AG36" s="23">
        <v>0.9</v>
      </c>
      <c r="AH36" s="24">
        <v>1.3</v>
      </c>
      <c r="AI36" s="24">
        <v>1.6</v>
      </c>
      <c r="AJ36" s="24">
        <f>ROUND(IF(G36="Sniper", SniperRefAngle/Database!AF36, RefAngle/Database!AE36) * IF(OR(E36="근접 무기", E36="투척 무기"), 0, 1) *100, 2)</f>
        <v>25</v>
      </c>
      <c r="AK36" s="24">
        <f>ROUND((1 - POWER(1-AJ36/100,N36)) * 100,2)</f>
        <v>89.99</v>
      </c>
      <c r="AL36" s="24">
        <f t="shared" si="3"/>
        <v>94.37</v>
      </c>
    </row>
    <row r="37" spans="1:38" ht="13.5" x14ac:dyDescent="0.3">
      <c r="A37" s="63">
        <v>33</v>
      </c>
      <c r="B37" s="17" t="s">
        <v>136</v>
      </c>
      <c r="C37" s="33" t="s">
        <v>321</v>
      </c>
      <c r="D37" s="17" t="s">
        <v>262</v>
      </c>
      <c r="E37" s="23" t="s">
        <v>61</v>
      </c>
      <c r="F37" s="23" t="s">
        <v>271</v>
      </c>
      <c r="G37" s="23" t="s">
        <v>134</v>
      </c>
      <c r="H37" s="23">
        <v>3</v>
      </c>
      <c r="I37" s="23">
        <v>6</v>
      </c>
      <c r="J37" s="23">
        <v>9</v>
      </c>
      <c r="K37" s="23">
        <v>10</v>
      </c>
      <c r="L37" s="29">
        <f t="shared" si="4"/>
        <v>54</v>
      </c>
      <c r="M37" s="29">
        <f t="shared" si="0"/>
        <v>60</v>
      </c>
      <c r="N37" s="70">
        <v>1</v>
      </c>
      <c r="O37" s="23">
        <v>33</v>
      </c>
      <c r="P37" s="23">
        <v>150</v>
      </c>
      <c r="Q37" s="30">
        <f t="shared" si="1"/>
        <v>0.4</v>
      </c>
      <c r="R37" s="23">
        <v>3</v>
      </c>
      <c r="S37" s="23">
        <v>50</v>
      </c>
      <c r="T37" s="23"/>
      <c r="U37" s="23"/>
      <c r="V37" s="31" t="s">
        <v>326</v>
      </c>
      <c r="W37" s="60" t="s">
        <v>243</v>
      </c>
      <c r="X37" s="23">
        <v>1</v>
      </c>
      <c r="Y37" s="46"/>
      <c r="Z37" s="46"/>
      <c r="AA37" s="32"/>
      <c r="AB37" s="32">
        <v>30</v>
      </c>
      <c r="AC37" s="32">
        <v>210</v>
      </c>
      <c r="AD37" s="32">
        <v>840</v>
      </c>
      <c r="AE37" s="24">
        <v>4.5</v>
      </c>
      <c r="AF37" s="24">
        <v>1</v>
      </c>
      <c r="AG37" s="23">
        <v>0.8</v>
      </c>
      <c r="AH37" s="24">
        <v>1.6</v>
      </c>
      <c r="AI37" s="24">
        <v>2</v>
      </c>
      <c r="AJ37" s="24">
        <f>ROUND(IF(G37="Sniper", SniperRefAngle/Database!AF37, RefAngle/Database!AE37) * IF(OR(E37="근접 무기", E37="투척 무기"), 0, 1) *100, 2)</f>
        <v>66.67</v>
      </c>
      <c r="AK37" s="24">
        <f t="shared" si="2"/>
        <v>66.67</v>
      </c>
      <c r="AL37" s="24">
        <f t="shared" si="3"/>
        <v>93.59</v>
      </c>
    </row>
    <row r="38" spans="1:38" ht="13.5" x14ac:dyDescent="0.3">
      <c r="A38" s="63">
        <v>34</v>
      </c>
      <c r="B38" s="17" t="s">
        <v>136</v>
      </c>
      <c r="C38" s="17" t="s">
        <v>322</v>
      </c>
      <c r="D38" s="17" t="s">
        <v>261</v>
      </c>
      <c r="E38" s="23" t="s">
        <v>71</v>
      </c>
      <c r="F38" s="23" t="s">
        <v>271</v>
      </c>
      <c r="G38" s="23" t="s">
        <v>150</v>
      </c>
      <c r="H38" s="23">
        <v>5</v>
      </c>
      <c r="I38" s="23">
        <v>7</v>
      </c>
      <c r="J38" s="23">
        <v>5</v>
      </c>
      <c r="K38" s="23">
        <v>10</v>
      </c>
      <c r="L38" s="29">
        <f t="shared" si="4"/>
        <v>35</v>
      </c>
      <c r="M38" s="29">
        <f t="shared" si="0"/>
        <v>70</v>
      </c>
      <c r="N38" s="70">
        <v>1</v>
      </c>
      <c r="O38" s="23">
        <v>87</v>
      </c>
      <c r="P38" s="23">
        <v>45</v>
      </c>
      <c r="Q38" s="30">
        <f t="shared" si="1"/>
        <v>1.3333333333333333</v>
      </c>
      <c r="R38" s="23">
        <v>2.6</v>
      </c>
      <c r="S38" s="23">
        <v>600</v>
      </c>
      <c r="T38" s="23"/>
      <c r="U38" s="23"/>
      <c r="V38" s="31" t="s">
        <v>327</v>
      </c>
      <c r="W38" s="60" t="s">
        <v>244</v>
      </c>
      <c r="X38" s="23">
        <v>1</v>
      </c>
      <c r="Y38" s="46"/>
      <c r="Z38" s="46"/>
      <c r="AA38" s="32"/>
      <c r="AB38" s="32">
        <v>90</v>
      </c>
      <c r="AC38" s="32">
        <v>630</v>
      </c>
      <c r="AD38" s="32">
        <v>2520</v>
      </c>
      <c r="AE38" s="24">
        <v>5.5</v>
      </c>
      <c r="AF38" s="24">
        <v>0.10199999999999999</v>
      </c>
      <c r="AG38" s="23">
        <v>0.8</v>
      </c>
      <c r="AH38" s="24">
        <v>1.5</v>
      </c>
      <c r="AI38" s="24">
        <v>3</v>
      </c>
      <c r="AJ38" s="24">
        <f>ROUND(IF(G38="Sniper", SniperRefAngle/Database!AF38, RefAngle/Database!AE38) * IF(OR(E38="근접 무기", E38="투척 무기"), 0, 1) *100, 2)</f>
        <v>95.98</v>
      </c>
      <c r="AK38" s="24">
        <f t="shared" si="2"/>
        <v>95.98</v>
      </c>
      <c r="AL38" s="24">
        <f t="shared" si="3"/>
        <v>91.02</v>
      </c>
    </row>
    <row r="39" spans="1:38" ht="13.5" x14ac:dyDescent="0.3">
      <c r="A39" s="63">
        <v>35</v>
      </c>
      <c r="B39" s="17" t="s">
        <v>136</v>
      </c>
      <c r="C39" s="17" t="s">
        <v>148</v>
      </c>
      <c r="D39" s="17" t="s">
        <v>261</v>
      </c>
      <c r="E39" s="23" t="s">
        <v>68</v>
      </c>
      <c r="F39" s="23" t="s">
        <v>271</v>
      </c>
      <c r="G39" s="23" t="s">
        <v>134</v>
      </c>
      <c r="H39" s="23">
        <v>1</v>
      </c>
      <c r="I39" s="23">
        <v>30</v>
      </c>
      <c r="J39" s="23">
        <v>5</v>
      </c>
      <c r="K39" s="23">
        <v>10</v>
      </c>
      <c r="L39" s="29">
        <f t="shared" si="4"/>
        <v>150</v>
      </c>
      <c r="M39" s="29">
        <f t="shared" si="0"/>
        <v>300</v>
      </c>
      <c r="N39" s="70">
        <v>1</v>
      </c>
      <c r="O39" s="23">
        <v>21</v>
      </c>
      <c r="P39" s="23">
        <v>670</v>
      </c>
      <c r="Q39" s="30">
        <f t="shared" si="1"/>
        <v>8.9552238805970144E-2</v>
      </c>
      <c r="R39" s="23">
        <v>2.4</v>
      </c>
      <c r="S39" s="23">
        <v>350</v>
      </c>
      <c r="T39" s="23"/>
      <c r="U39" s="23"/>
      <c r="V39" s="31" t="s">
        <v>196</v>
      </c>
      <c r="W39" s="60" t="s">
        <v>245</v>
      </c>
      <c r="X39" s="23">
        <v>1</v>
      </c>
      <c r="Y39" s="46"/>
      <c r="Z39" s="46"/>
      <c r="AA39" s="32"/>
      <c r="AB39" s="32"/>
      <c r="AC39" s="32"/>
      <c r="AD39" s="32"/>
      <c r="AE39" s="24">
        <v>3.7</v>
      </c>
      <c r="AF39" s="59">
        <v>1</v>
      </c>
      <c r="AG39" s="23">
        <v>0.8</v>
      </c>
      <c r="AH39" s="24">
        <v>1.8</v>
      </c>
      <c r="AI39" s="24">
        <v>3.5</v>
      </c>
      <c r="AJ39" s="24">
        <f>ROUND(IF(G39="Sniper", SniperRefAngle/Database!AF39, RefAngle/Database!AE39) * IF(OR(E39="근접 무기", E39="투척 무기"), 0, 1) *100, 2)</f>
        <v>81.08</v>
      </c>
      <c r="AK39" s="24">
        <f t="shared" si="2"/>
        <v>81.08</v>
      </c>
      <c r="AL39" s="24">
        <f t="shared" si="3"/>
        <v>100</v>
      </c>
    </row>
    <row r="40" spans="1:38" ht="13.5" x14ac:dyDescent="0.3">
      <c r="A40" s="63">
        <v>36</v>
      </c>
      <c r="B40" s="17" t="s">
        <v>136</v>
      </c>
      <c r="C40" s="17" t="s">
        <v>144</v>
      </c>
      <c r="D40" s="17" t="s">
        <v>261</v>
      </c>
      <c r="E40" s="23" t="s">
        <v>68</v>
      </c>
      <c r="F40" s="23" t="s">
        <v>271</v>
      </c>
      <c r="G40" s="23" t="s">
        <v>134</v>
      </c>
      <c r="H40" s="23">
        <v>6</v>
      </c>
      <c r="I40" s="23">
        <v>80</v>
      </c>
      <c r="J40" s="23">
        <v>3</v>
      </c>
      <c r="K40" s="23">
        <v>6</v>
      </c>
      <c r="L40" s="29">
        <f t="shared" si="4"/>
        <v>240</v>
      </c>
      <c r="M40" s="29">
        <f t="shared" si="0"/>
        <v>480</v>
      </c>
      <c r="N40" s="70">
        <v>1</v>
      </c>
      <c r="O40" s="23">
        <v>20</v>
      </c>
      <c r="P40" s="23">
        <v>730</v>
      </c>
      <c r="Q40" s="30">
        <f t="shared" si="1"/>
        <v>8.2191780821917804E-2</v>
      </c>
      <c r="R40" s="23">
        <v>4.8</v>
      </c>
      <c r="S40" s="23">
        <v>400</v>
      </c>
      <c r="T40" s="23"/>
      <c r="U40" s="23"/>
      <c r="V40" s="31" t="s">
        <v>198</v>
      </c>
      <c r="W40" s="60" t="s">
        <v>246</v>
      </c>
      <c r="X40" s="23">
        <v>1</v>
      </c>
      <c r="Y40" s="46"/>
      <c r="Z40" s="46"/>
      <c r="AA40" s="32"/>
      <c r="AB40" s="32">
        <v>100</v>
      </c>
      <c r="AC40" s="32">
        <v>700</v>
      </c>
      <c r="AD40" s="32">
        <v>2800</v>
      </c>
      <c r="AE40" s="24">
        <v>5</v>
      </c>
      <c r="AF40" s="59">
        <v>1</v>
      </c>
      <c r="AG40" s="23">
        <v>0.9</v>
      </c>
      <c r="AH40" s="24">
        <v>2.5</v>
      </c>
      <c r="AI40" s="24">
        <v>5.5</v>
      </c>
      <c r="AJ40" s="24">
        <f>ROUND(IF(G40="Sniper", SniperRefAngle/Database!AF40, RefAngle/Database!AE40) * IF(OR(E40="근접 무기", E40="투척 무기"), 0, 1) *100, 2)</f>
        <v>60</v>
      </c>
      <c r="AK40" s="24">
        <f t="shared" si="2"/>
        <v>60</v>
      </c>
      <c r="AL40" s="24">
        <f t="shared" si="3"/>
        <v>100</v>
      </c>
    </row>
    <row r="41" spans="1:38" ht="13.5" x14ac:dyDescent="0.3">
      <c r="A41" s="63">
        <v>37</v>
      </c>
      <c r="B41" s="17" t="s">
        <v>136</v>
      </c>
      <c r="C41" s="17" t="s">
        <v>149</v>
      </c>
      <c r="D41" s="17" t="s">
        <v>263</v>
      </c>
      <c r="E41" s="23" t="s">
        <v>108</v>
      </c>
      <c r="F41" s="23" t="s">
        <v>271</v>
      </c>
      <c r="G41" s="23" t="s">
        <v>132</v>
      </c>
      <c r="H41" s="23">
        <v>4</v>
      </c>
      <c r="I41" s="23"/>
      <c r="J41" s="23"/>
      <c r="K41" s="23"/>
      <c r="L41" s="29">
        <f t="shared" si="4"/>
        <v>0</v>
      </c>
      <c r="M41" s="29">
        <f t="shared" si="0"/>
        <v>0</v>
      </c>
      <c r="N41" s="70">
        <v>1</v>
      </c>
      <c r="O41" s="23">
        <v>47</v>
      </c>
      <c r="P41" s="23">
        <v>150</v>
      </c>
      <c r="Q41" s="30">
        <f t="shared" si="1"/>
        <v>0.4</v>
      </c>
      <c r="R41" s="23">
        <v>0.7</v>
      </c>
      <c r="S41" s="23">
        <v>2</v>
      </c>
      <c r="T41" s="23"/>
      <c r="U41" s="23"/>
      <c r="V41" s="31" t="s">
        <v>252</v>
      </c>
      <c r="W41" s="60" t="s">
        <v>247</v>
      </c>
      <c r="X41" s="23">
        <v>1</v>
      </c>
      <c r="Y41" s="46"/>
      <c r="Z41" s="46"/>
      <c r="AA41" s="32"/>
      <c r="AB41" s="32">
        <v>70</v>
      </c>
      <c r="AC41" s="32">
        <v>490</v>
      </c>
      <c r="AD41" s="32">
        <v>1960</v>
      </c>
      <c r="AE41" s="24">
        <v>4</v>
      </c>
      <c r="AF41" s="24">
        <v>1</v>
      </c>
      <c r="AG41" s="23">
        <v>1</v>
      </c>
      <c r="AH41" s="24">
        <v>1</v>
      </c>
      <c r="AI41" s="24">
        <v>1</v>
      </c>
      <c r="AJ41" s="24">
        <f>ROUND(IF(G41="Sniper", SniperRefAngle/Database!AF41, RefAngle/Database!AE41) * IF(OR(E41="근접 무기", E41="투척 무기"), 0, 1) *100, 2)</f>
        <v>0</v>
      </c>
      <c r="AK41" s="24">
        <f t="shared" si="2"/>
        <v>0</v>
      </c>
      <c r="AL41" s="24">
        <f t="shared" si="3"/>
        <v>0</v>
      </c>
    </row>
    <row r="42" spans="1:38" ht="13.5" x14ac:dyDescent="0.3">
      <c r="A42" s="63">
        <v>38</v>
      </c>
      <c r="B42" s="17" t="s">
        <v>129</v>
      </c>
      <c r="C42" s="17" t="s">
        <v>205</v>
      </c>
      <c r="D42" s="17" t="s">
        <v>257</v>
      </c>
      <c r="E42" s="23" t="s">
        <v>259</v>
      </c>
      <c r="F42" s="23" t="s">
        <v>273</v>
      </c>
      <c r="G42" s="23" t="s">
        <v>135</v>
      </c>
      <c r="H42" s="23">
        <v>2</v>
      </c>
      <c r="I42" s="23">
        <v>1</v>
      </c>
      <c r="J42" s="23">
        <v>2</v>
      </c>
      <c r="K42" s="23">
        <v>3</v>
      </c>
      <c r="L42" s="29">
        <f t="shared" ref="L42" si="5">I42*J42</f>
        <v>2</v>
      </c>
      <c r="M42" s="29">
        <f t="shared" ref="M42" si="6">I42*K42</f>
        <v>3</v>
      </c>
      <c r="N42" s="70">
        <v>1</v>
      </c>
      <c r="O42" s="23">
        <v>0</v>
      </c>
      <c r="P42" s="23">
        <v>999</v>
      </c>
      <c r="Q42" s="30">
        <f t="shared" ref="Q42" si="7">60/P42</f>
        <v>6.006006006006006E-2</v>
      </c>
      <c r="R42" s="23">
        <v>20</v>
      </c>
      <c r="S42" s="23">
        <v>30</v>
      </c>
      <c r="T42" s="23">
        <v>3</v>
      </c>
      <c r="U42" s="23">
        <v>10</v>
      </c>
      <c r="V42" s="31" t="s">
        <v>207</v>
      </c>
      <c r="W42" s="60" t="s">
        <v>248</v>
      </c>
      <c r="X42" s="23">
        <v>1</v>
      </c>
      <c r="Y42" s="46">
        <v>10</v>
      </c>
      <c r="Z42" s="46">
        <v>4</v>
      </c>
      <c r="AA42" s="32">
        <v>50</v>
      </c>
      <c r="AB42" s="32"/>
      <c r="AC42" s="32"/>
      <c r="AD42" s="32"/>
      <c r="AE42" s="24">
        <v>20</v>
      </c>
      <c r="AF42" s="24">
        <v>10</v>
      </c>
      <c r="AG42" s="24">
        <v>0.7</v>
      </c>
      <c r="AH42" s="24">
        <v>1.2</v>
      </c>
      <c r="AI42" s="24">
        <v>1.5</v>
      </c>
      <c r="AJ42" s="24">
        <f>ROUND(IF(G42="Sniper", SniperRefAngle/Database!AF42, RefAngle/Database!AE42) * IF(OR(E42="근접 무기", E42="투척 무기"), 0, 1) *100, 2)</f>
        <v>15</v>
      </c>
      <c r="AK42" s="24">
        <f t="shared" si="2"/>
        <v>15</v>
      </c>
      <c r="AL42" s="24">
        <f t="shared" si="3"/>
        <v>93.32</v>
      </c>
    </row>
    <row r="43" spans="1:38" ht="13.5" x14ac:dyDescent="0.3">
      <c r="A43" s="63">
        <v>39</v>
      </c>
      <c r="B43" s="17" t="s">
        <v>129</v>
      </c>
      <c r="C43" s="17" t="s">
        <v>206</v>
      </c>
      <c r="D43" s="17" t="s">
        <v>257</v>
      </c>
      <c r="E43" s="23" t="s">
        <v>259</v>
      </c>
      <c r="F43" s="23" t="s">
        <v>276</v>
      </c>
      <c r="G43" s="23" t="s">
        <v>135</v>
      </c>
      <c r="H43" s="23">
        <v>2</v>
      </c>
      <c r="I43" s="23">
        <v>1</v>
      </c>
      <c r="J43" s="23">
        <v>2</v>
      </c>
      <c r="K43" s="23">
        <v>3</v>
      </c>
      <c r="L43" s="29">
        <f t="shared" ref="L43" si="8">I43*J43</f>
        <v>2</v>
      </c>
      <c r="M43" s="29">
        <f t="shared" ref="M43" si="9">I43*K43</f>
        <v>3</v>
      </c>
      <c r="N43" s="70">
        <v>1</v>
      </c>
      <c r="O43" s="23">
        <v>0</v>
      </c>
      <c r="P43" s="23">
        <v>999</v>
      </c>
      <c r="Q43" s="30">
        <f t="shared" ref="Q43" si="10">60/P43</f>
        <v>6.006006006006006E-2</v>
      </c>
      <c r="R43" s="23">
        <v>11</v>
      </c>
      <c r="S43" s="23">
        <v>30</v>
      </c>
      <c r="T43" s="23">
        <v>9</v>
      </c>
      <c r="U43" s="23">
        <v>5</v>
      </c>
      <c r="V43" s="31" t="s">
        <v>208</v>
      </c>
      <c r="W43" s="60" t="s">
        <v>249</v>
      </c>
      <c r="X43" s="23">
        <v>1</v>
      </c>
      <c r="Y43" s="46">
        <v>10</v>
      </c>
      <c r="Z43" s="46">
        <v>4</v>
      </c>
      <c r="AA43" s="32">
        <v>50</v>
      </c>
      <c r="AB43" s="32"/>
      <c r="AC43" s="32"/>
      <c r="AD43" s="32"/>
      <c r="AE43" s="24">
        <v>20</v>
      </c>
      <c r="AF43" s="24">
        <v>10</v>
      </c>
      <c r="AG43" s="24">
        <v>0.7</v>
      </c>
      <c r="AH43" s="24">
        <v>1.2</v>
      </c>
      <c r="AI43" s="24">
        <v>1.5</v>
      </c>
      <c r="AJ43" s="24">
        <f>ROUND(IF(G43="Sniper", SniperRefAngle/Database!AF43, RefAngle/Database!AE43) * IF(OR(E43="근접 무기", E43="투척 무기"), 0, 1) *100, 2)</f>
        <v>15</v>
      </c>
      <c r="AK43" s="24">
        <f t="shared" si="2"/>
        <v>15</v>
      </c>
      <c r="AL43" s="24">
        <f t="shared" si="3"/>
        <v>93.32</v>
      </c>
    </row>
    <row r="44" spans="1:38" ht="13.5" x14ac:dyDescent="0.3">
      <c r="A44" s="63">
        <v>40</v>
      </c>
      <c r="B44" s="17" t="s">
        <v>129</v>
      </c>
      <c r="C44" s="17" t="s">
        <v>265</v>
      </c>
      <c r="D44" s="17" t="s">
        <v>257</v>
      </c>
      <c r="E44" s="23" t="s">
        <v>259</v>
      </c>
      <c r="F44" s="23" t="s">
        <v>278</v>
      </c>
      <c r="G44" s="23" t="s">
        <v>266</v>
      </c>
      <c r="H44" s="23">
        <v>2</v>
      </c>
      <c r="I44" s="23">
        <v>1</v>
      </c>
      <c r="J44" s="23">
        <v>2</v>
      </c>
      <c r="K44" s="23">
        <v>3</v>
      </c>
      <c r="L44" s="29">
        <f t="shared" ref="L44" si="11">I44*J44</f>
        <v>2</v>
      </c>
      <c r="M44" s="29">
        <f t="shared" ref="M44" si="12">I44*K44</f>
        <v>3</v>
      </c>
      <c r="N44" s="70">
        <v>1</v>
      </c>
      <c r="O44" s="23">
        <v>0</v>
      </c>
      <c r="P44" s="23">
        <v>999</v>
      </c>
      <c r="Q44" s="30">
        <f t="shared" ref="Q44" si="13">60/P44</f>
        <v>6.006006006006006E-2</v>
      </c>
      <c r="R44" s="23">
        <v>16</v>
      </c>
      <c r="S44" s="23">
        <v>30</v>
      </c>
      <c r="T44" s="23"/>
      <c r="U44" s="23">
        <v>12</v>
      </c>
      <c r="V44" s="31" t="s">
        <v>269</v>
      </c>
      <c r="W44" s="60"/>
      <c r="X44" s="23">
        <v>1</v>
      </c>
      <c r="Y44" s="46">
        <v>10</v>
      </c>
      <c r="Z44" s="46">
        <v>2</v>
      </c>
      <c r="AA44" s="32">
        <v>100</v>
      </c>
      <c r="AB44" s="32"/>
      <c r="AC44" s="32"/>
      <c r="AD44" s="32"/>
      <c r="AE44" s="24">
        <v>10</v>
      </c>
      <c r="AF44" s="24">
        <v>0.75</v>
      </c>
      <c r="AG44" s="24">
        <v>0.7</v>
      </c>
      <c r="AH44" s="24">
        <v>1.2</v>
      </c>
      <c r="AI44" s="24">
        <v>1.5</v>
      </c>
      <c r="AJ44" s="24">
        <f>ROUND(IF(G44="Sniper", SniperRefAngle/Database!AF44, RefAngle/Database!AE44) * IF(OR(E44="근접 무기", E44="투척 무기"), 0, 1) *100, 2)</f>
        <v>30</v>
      </c>
      <c r="AK44" s="24">
        <f t="shared" si="2"/>
        <v>30</v>
      </c>
      <c r="AL44" s="24">
        <f t="shared" si="3"/>
        <v>99.74</v>
      </c>
    </row>
  </sheetData>
  <autoFilter ref="A4:V44">
    <sortState ref="A5:V43">
      <sortCondition ref="A4"/>
    </sortState>
  </autoFilter>
  <dataConsolidate/>
  <phoneticPr fontId="17" type="noConversion"/>
  <dataValidations count="4">
    <dataValidation type="list" allowBlank="1" showInputMessage="1" showErrorMessage="1" sqref="E5:E44">
      <formula1>WeaponType.Kor</formula1>
    </dataValidation>
    <dataValidation type="list" allowBlank="1" showInputMessage="1" showErrorMessage="1" sqref="D5:D44">
      <formula1>WeaponSlotType.Kor</formula1>
    </dataValidation>
    <dataValidation type="list" allowBlank="1" showInputMessage="1" showErrorMessage="1" sqref="G5:G44">
      <formula1>GunType.Eng</formula1>
    </dataValidation>
    <dataValidation type="list" allowBlank="1" showInputMessage="1" showErrorMessage="1" sqref="F5:F44">
      <formula1>WeaponTacticalType.Kor</formula1>
    </dataValidation>
  </dataValidations>
  <pageMargins left="0.39370078740157483" right="0.39370078740157483" top="0.74803149606299213" bottom="0.74803149606299213" header="0.31496062992125984" footer="0.31496062992125984"/>
  <pageSetup paperSize="9" scale="67" orientation="portrait" r:id="rId1"/>
  <customProperties>
    <customPr name="DVSECTION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4"/>
  <sheetViews>
    <sheetView workbookViewId="0">
      <selection activeCell="O8" sqref="O8"/>
    </sheetView>
  </sheetViews>
  <sheetFormatPr defaultRowHeight="13.5" x14ac:dyDescent="0.3"/>
  <cols>
    <col min="1" max="2" width="9" style="13"/>
    <col min="3" max="3" width="15.625" style="13" bestFit="1" customWidth="1"/>
    <col min="4" max="4" width="2" style="13" customWidth="1"/>
    <col min="5" max="7" width="9" style="13"/>
    <col min="8" max="8" width="3" style="13" customWidth="1"/>
    <col min="9" max="10" width="9" style="13"/>
    <col min="11" max="11" width="11.5" style="13" customWidth="1"/>
    <col min="12" max="12" width="1.875" style="13" customWidth="1"/>
    <col min="13" max="16384" width="9" style="13"/>
  </cols>
  <sheetData>
    <row r="1" spans="1:15" x14ac:dyDescent="0.3">
      <c r="A1" s="13" t="s">
        <v>56</v>
      </c>
      <c r="E1" s="13" t="s">
        <v>21</v>
      </c>
      <c r="I1" s="13" t="s">
        <v>112</v>
      </c>
      <c r="M1" s="13" t="s">
        <v>270</v>
      </c>
    </row>
    <row r="2" spans="1:15" x14ac:dyDescent="0.3">
      <c r="A2" s="14" t="s">
        <v>11</v>
      </c>
      <c r="B2" s="14" t="s">
        <v>12</v>
      </c>
      <c r="C2" s="14" t="s">
        <v>14</v>
      </c>
      <c r="E2" s="14" t="s">
        <v>11</v>
      </c>
      <c r="F2" s="14" t="s">
        <v>12</v>
      </c>
      <c r="G2" s="14" t="s">
        <v>14</v>
      </c>
      <c r="I2" s="14" t="s">
        <v>11</v>
      </c>
      <c r="J2" s="14" t="s">
        <v>12</v>
      </c>
      <c r="K2" s="14" t="s">
        <v>14</v>
      </c>
      <c r="M2" s="14" t="s">
        <v>11</v>
      </c>
      <c r="N2" s="14" t="s">
        <v>12</v>
      </c>
      <c r="O2" s="14" t="s">
        <v>14</v>
      </c>
    </row>
    <row r="3" spans="1:15" x14ac:dyDescent="0.3">
      <c r="A3" s="15">
        <v>0</v>
      </c>
      <c r="B3" s="15" t="s">
        <v>15</v>
      </c>
      <c r="C3" s="15" t="s">
        <v>16</v>
      </c>
      <c r="E3" s="15">
        <v>0</v>
      </c>
      <c r="F3" s="15" t="s">
        <v>15</v>
      </c>
      <c r="G3" s="15" t="s">
        <v>16</v>
      </c>
      <c r="I3" s="15">
        <v>99</v>
      </c>
      <c r="J3" s="15" t="s">
        <v>15</v>
      </c>
      <c r="K3" s="15" t="s">
        <v>16</v>
      </c>
      <c r="M3" s="15">
        <v>0</v>
      </c>
      <c r="N3" s="15" t="s">
        <v>15</v>
      </c>
      <c r="O3" s="15" t="s">
        <v>16</v>
      </c>
    </row>
    <row r="4" spans="1:15" x14ac:dyDescent="0.3">
      <c r="A4" s="15">
        <v>1</v>
      </c>
      <c r="B4" s="15" t="s">
        <v>58</v>
      </c>
      <c r="C4" s="15" t="s">
        <v>261</v>
      </c>
      <c r="E4" s="15">
        <v>1</v>
      </c>
      <c r="F4" s="15" t="s">
        <v>60</v>
      </c>
      <c r="G4" s="15" t="s">
        <v>62</v>
      </c>
      <c r="I4" s="15">
        <v>0</v>
      </c>
      <c r="J4" s="15" t="s">
        <v>83</v>
      </c>
      <c r="K4" s="15" t="s">
        <v>119</v>
      </c>
      <c r="M4" s="15">
        <v>1</v>
      </c>
      <c r="N4" s="15" t="s">
        <v>272</v>
      </c>
      <c r="O4" s="15" t="s">
        <v>274</v>
      </c>
    </row>
    <row r="5" spans="1:15" x14ac:dyDescent="0.3">
      <c r="A5" s="15">
        <v>2</v>
      </c>
      <c r="B5" s="15" t="s">
        <v>59</v>
      </c>
      <c r="C5" s="15" t="s">
        <v>262</v>
      </c>
      <c r="E5" s="15">
        <v>2</v>
      </c>
      <c r="F5" s="15" t="s">
        <v>63</v>
      </c>
      <c r="G5" s="15" t="s">
        <v>65</v>
      </c>
      <c r="I5" s="15">
        <v>1</v>
      </c>
      <c r="J5" s="15" t="s">
        <v>79</v>
      </c>
      <c r="K5" s="15" t="s">
        <v>122</v>
      </c>
      <c r="M5" s="15">
        <v>2</v>
      </c>
      <c r="N5" s="15" t="s">
        <v>275</v>
      </c>
      <c r="O5" s="15" t="s">
        <v>277</v>
      </c>
    </row>
    <row r="6" spans="1:15" x14ac:dyDescent="0.3">
      <c r="A6" s="15">
        <v>3</v>
      </c>
      <c r="B6" s="15" t="s">
        <v>22</v>
      </c>
      <c r="C6" s="15" t="s">
        <v>263</v>
      </c>
      <c r="E6" s="15">
        <v>3</v>
      </c>
      <c r="F6" s="15" t="s">
        <v>66</v>
      </c>
      <c r="G6" s="15" t="s">
        <v>66</v>
      </c>
      <c r="I6" s="15">
        <v>2</v>
      </c>
      <c r="J6" s="15" t="s">
        <v>70</v>
      </c>
      <c r="K6" s="15" t="s">
        <v>120</v>
      </c>
      <c r="M6" s="15">
        <v>3</v>
      </c>
      <c r="N6" s="15" t="s">
        <v>279</v>
      </c>
      <c r="O6" s="15" t="s">
        <v>279</v>
      </c>
    </row>
    <row r="7" spans="1:15" x14ac:dyDescent="0.3">
      <c r="A7" s="15">
        <v>4</v>
      </c>
      <c r="B7" s="15" t="s">
        <v>57</v>
      </c>
      <c r="C7" s="15" t="s">
        <v>264</v>
      </c>
      <c r="E7" s="15">
        <v>4</v>
      </c>
      <c r="F7" s="15" t="s">
        <v>67</v>
      </c>
      <c r="G7" s="15" t="s">
        <v>69</v>
      </c>
      <c r="I7" s="15">
        <v>3</v>
      </c>
      <c r="J7" s="15" t="s">
        <v>60</v>
      </c>
      <c r="K7" s="15" t="s">
        <v>123</v>
      </c>
      <c r="M7" s="15">
        <v>4</v>
      </c>
      <c r="N7" s="15" t="s">
        <v>57</v>
      </c>
      <c r="O7" s="15" t="s">
        <v>351</v>
      </c>
    </row>
    <row r="8" spans="1:15" x14ac:dyDescent="0.3">
      <c r="A8" s="15">
        <v>5</v>
      </c>
      <c r="B8" s="15" t="s">
        <v>256</v>
      </c>
      <c r="C8" s="15" t="s">
        <v>257</v>
      </c>
      <c r="E8" s="15">
        <v>5</v>
      </c>
      <c r="F8" s="15" t="s">
        <v>70</v>
      </c>
      <c r="G8" s="15" t="s">
        <v>72</v>
      </c>
      <c r="I8" s="15">
        <v>4</v>
      </c>
      <c r="J8" s="15" t="s">
        <v>80</v>
      </c>
      <c r="K8" s="15" t="s">
        <v>124</v>
      </c>
      <c r="M8" s="15">
        <v>5</v>
      </c>
      <c r="N8" s="15" t="s">
        <v>347</v>
      </c>
      <c r="O8" s="15" t="s">
        <v>349</v>
      </c>
    </row>
    <row r="9" spans="1:15" x14ac:dyDescent="0.3">
      <c r="E9" s="15">
        <v>6</v>
      </c>
      <c r="F9" s="15" t="s">
        <v>57</v>
      </c>
      <c r="G9" s="15" t="s">
        <v>111</v>
      </c>
      <c r="I9" s="15">
        <v>5</v>
      </c>
      <c r="J9" s="15" t="s">
        <v>57</v>
      </c>
      <c r="K9" s="15" t="s">
        <v>125</v>
      </c>
    </row>
    <row r="10" spans="1:15" x14ac:dyDescent="0.3">
      <c r="E10" s="15">
        <v>7</v>
      </c>
      <c r="F10" s="15" t="s">
        <v>22</v>
      </c>
      <c r="G10" s="15" t="s">
        <v>109</v>
      </c>
      <c r="I10" s="15">
        <v>6</v>
      </c>
      <c r="J10" s="15" t="s">
        <v>81</v>
      </c>
      <c r="K10" s="15" t="s">
        <v>126</v>
      </c>
    </row>
    <row r="11" spans="1:15" x14ac:dyDescent="0.3">
      <c r="E11" s="15">
        <v>8</v>
      </c>
      <c r="F11" s="15" t="s">
        <v>258</v>
      </c>
      <c r="G11" s="15" t="s">
        <v>260</v>
      </c>
      <c r="I11" s="15">
        <v>7</v>
      </c>
      <c r="J11" s="15" t="s">
        <v>82</v>
      </c>
      <c r="K11" s="15" t="s">
        <v>121</v>
      </c>
    </row>
    <row r="12" spans="1:15" x14ac:dyDescent="0.3">
      <c r="I12" s="15">
        <v>8</v>
      </c>
      <c r="J12" s="15" t="s">
        <v>267</v>
      </c>
      <c r="K12" s="15" t="s">
        <v>268</v>
      </c>
    </row>
    <row r="13" spans="1:15" x14ac:dyDescent="0.3">
      <c r="E13" s="13" t="s">
        <v>78</v>
      </c>
    </row>
    <row r="14" spans="1:15" x14ac:dyDescent="0.3">
      <c r="I14" s="13" t="s">
        <v>77</v>
      </c>
    </row>
  </sheetData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D37"/>
  <sheetViews>
    <sheetView zoomScale="85" zoomScaleNormal="85" workbookViewId="0">
      <selection activeCell="B23" sqref="B23"/>
    </sheetView>
  </sheetViews>
  <sheetFormatPr defaultRowHeight="16.5" x14ac:dyDescent="0.3"/>
  <cols>
    <col min="1" max="1" width="24.375" style="2" customWidth="1"/>
    <col min="2" max="2" width="31.5" style="2" bestFit="1" customWidth="1"/>
    <col min="3" max="3" width="4.125" style="2" customWidth="1"/>
    <col min="4" max="16384" width="9" style="2"/>
  </cols>
  <sheetData>
    <row r="1" spans="1:4" x14ac:dyDescent="0.3">
      <c r="A1" s="1" t="s">
        <v>13</v>
      </c>
      <c r="B1" s="1"/>
    </row>
    <row r="2" spans="1:4" x14ac:dyDescent="0.3">
      <c r="A2" s="3" t="s">
        <v>4</v>
      </c>
      <c r="B2" s="4" t="s">
        <v>5</v>
      </c>
      <c r="D2" s="12"/>
    </row>
    <row r="3" spans="1:4" x14ac:dyDescent="0.3">
      <c r="A3" s="3" t="s">
        <v>0</v>
      </c>
      <c r="B3" s="4" t="s">
        <v>105</v>
      </c>
      <c r="D3" s="12"/>
    </row>
    <row r="4" spans="1:4" x14ac:dyDescent="0.3">
      <c r="A4" s="3" t="s">
        <v>10</v>
      </c>
      <c r="B4" s="4" t="s">
        <v>104</v>
      </c>
      <c r="D4" s="12"/>
    </row>
    <row r="5" spans="1:4" x14ac:dyDescent="0.3">
      <c r="A5" s="3" t="s">
        <v>6</v>
      </c>
      <c r="B5" s="4">
        <v>2</v>
      </c>
      <c r="D5" s="12"/>
    </row>
    <row r="6" spans="1:4" x14ac:dyDescent="0.3">
      <c r="A6" s="3" t="s">
        <v>7</v>
      </c>
      <c r="B6" s="4">
        <v>4</v>
      </c>
      <c r="D6" s="12"/>
    </row>
    <row r="7" spans="1:4" x14ac:dyDescent="0.3">
      <c r="A7" s="3" t="s">
        <v>1</v>
      </c>
      <c r="B7" s="4">
        <v>5</v>
      </c>
      <c r="D7" s="12"/>
    </row>
    <row r="8" spans="1:4" x14ac:dyDescent="0.3">
      <c r="A8" s="3" t="s">
        <v>2</v>
      </c>
      <c r="B8" s="4">
        <v>1</v>
      </c>
      <c r="D8" s="12"/>
    </row>
    <row r="9" spans="1:4" x14ac:dyDescent="0.3">
      <c r="A9" s="9" t="s">
        <v>75</v>
      </c>
      <c r="B9" s="20" t="s">
        <v>8</v>
      </c>
      <c r="D9" s="12"/>
    </row>
    <row r="10" spans="1:4" x14ac:dyDescent="0.3">
      <c r="A10" s="9" t="s">
        <v>73</v>
      </c>
      <c r="B10" s="20" t="s">
        <v>9</v>
      </c>
      <c r="D10" s="12"/>
    </row>
    <row r="11" spans="1:4" x14ac:dyDescent="0.3">
      <c r="A11" s="9" t="s">
        <v>89</v>
      </c>
      <c r="B11" s="20" t="s">
        <v>8</v>
      </c>
      <c r="D11" s="12"/>
    </row>
    <row r="12" spans="1:4" x14ac:dyDescent="0.3">
      <c r="A12" s="9" t="s">
        <v>27</v>
      </c>
      <c r="B12" s="20" t="s">
        <v>8</v>
      </c>
      <c r="D12" s="12"/>
    </row>
    <row r="13" spans="1:4" x14ac:dyDescent="0.3">
      <c r="A13" s="9" t="s">
        <v>283</v>
      </c>
      <c r="B13" s="20" t="s">
        <v>8</v>
      </c>
      <c r="D13" s="12"/>
    </row>
    <row r="14" spans="1:4" x14ac:dyDescent="0.3">
      <c r="A14" s="9" t="s">
        <v>113</v>
      </c>
      <c r="B14" s="20" t="s">
        <v>8</v>
      </c>
      <c r="D14" s="12"/>
    </row>
    <row r="15" spans="1:4" x14ac:dyDescent="0.3">
      <c r="A15" s="9" t="s">
        <v>91</v>
      </c>
      <c r="B15" s="20" t="s">
        <v>8</v>
      </c>
      <c r="D15" s="12"/>
    </row>
    <row r="16" spans="1:4" x14ac:dyDescent="0.3">
      <c r="A16" s="9" t="s">
        <v>116</v>
      </c>
      <c r="B16" s="20" t="s">
        <v>8</v>
      </c>
      <c r="D16" s="12"/>
    </row>
    <row r="17" spans="1:4" x14ac:dyDescent="0.3">
      <c r="A17" s="9" t="s">
        <v>118</v>
      </c>
      <c r="B17" s="20" t="s">
        <v>8</v>
      </c>
      <c r="D17" s="12"/>
    </row>
    <row r="18" spans="1:4" x14ac:dyDescent="0.3">
      <c r="A18" s="9" t="s">
        <v>31</v>
      </c>
      <c r="B18" s="20" t="s">
        <v>107</v>
      </c>
      <c r="D18" s="12"/>
    </row>
    <row r="19" spans="1:4" x14ac:dyDescent="0.3">
      <c r="A19" s="9" t="s">
        <v>95</v>
      </c>
      <c r="B19" s="20" t="s">
        <v>107</v>
      </c>
      <c r="D19" s="12"/>
    </row>
    <row r="20" spans="1:4" x14ac:dyDescent="0.3">
      <c r="A20" s="9" t="s">
        <v>98</v>
      </c>
      <c r="B20" s="20" t="s">
        <v>8</v>
      </c>
      <c r="D20" s="12"/>
    </row>
    <row r="21" spans="1:4" x14ac:dyDescent="0.3">
      <c r="A21" s="9" t="s">
        <v>100</v>
      </c>
      <c r="B21" s="20" t="s">
        <v>8</v>
      </c>
      <c r="D21" s="12"/>
    </row>
    <row r="22" spans="1:4" x14ac:dyDescent="0.3">
      <c r="A22" s="9" t="s">
        <v>354</v>
      </c>
      <c r="B22" s="20" t="s">
        <v>107</v>
      </c>
      <c r="D22" s="12"/>
    </row>
    <row r="23" spans="1:4" x14ac:dyDescent="0.3">
      <c r="A23" s="9" t="s">
        <v>355</v>
      </c>
      <c r="B23" s="20" t="s">
        <v>107</v>
      </c>
      <c r="D23" s="12"/>
    </row>
    <row r="24" spans="1:4" x14ac:dyDescent="0.3">
      <c r="A24" s="9" t="s">
        <v>102</v>
      </c>
      <c r="B24" s="20" t="s">
        <v>9</v>
      </c>
      <c r="D24" s="12"/>
    </row>
    <row r="25" spans="1:4" x14ac:dyDescent="0.3">
      <c r="A25" s="9" t="s">
        <v>195</v>
      </c>
      <c r="B25" s="20" t="s">
        <v>107</v>
      </c>
      <c r="D25" s="12"/>
    </row>
    <row r="26" spans="1:4" x14ac:dyDescent="0.3">
      <c r="A26" s="9" t="s">
        <v>343</v>
      </c>
      <c r="B26" s="9" t="s">
        <v>107</v>
      </c>
      <c r="D26" s="12"/>
    </row>
    <row r="27" spans="1:4" x14ac:dyDescent="0.3">
      <c r="A27" s="9" t="s">
        <v>194</v>
      </c>
      <c r="B27" s="20" t="s">
        <v>107</v>
      </c>
    </row>
    <row r="28" spans="1:4" x14ac:dyDescent="0.3">
      <c r="A28" s="9" t="s">
        <v>151</v>
      </c>
      <c r="B28" s="20" t="s">
        <v>107</v>
      </c>
    </row>
    <row r="29" spans="1:4" x14ac:dyDescent="0.3">
      <c r="A29" s="9" t="s">
        <v>152</v>
      </c>
      <c r="B29" s="9" t="s">
        <v>107</v>
      </c>
    </row>
    <row r="30" spans="1:4" x14ac:dyDescent="0.3">
      <c r="A30" s="9" t="s">
        <v>189</v>
      </c>
      <c r="B30" s="20" t="s">
        <v>8</v>
      </c>
    </row>
    <row r="31" spans="1:4" x14ac:dyDescent="0.3">
      <c r="A31" s="9" t="s">
        <v>190</v>
      </c>
      <c r="B31" s="20" t="s">
        <v>8</v>
      </c>
    </row>
    <row r="32" spans="1:4" x14ac:dyDescent="0.3">
      <c r="A32" s="9" t="s">
        <v>178</v>
      </c>
      <c r="B32" s="20" t="s">
        <v>8</v>
      </c>
    </row>
    <row r="33" spans="1:2" x14ac:dyDescent="0.3">
      <c r="A33" s="9" t="s">
        <v>184</v>
      </c>
      <c r="B33" s="20" t="s">
        <v>8</v>
      </c>
    </row>
    <row r="34" spans="1:2" x14ac:dyDescent="0.3">
      <c r="A34" s="9" t="s">
        <v>185</v>
      </c>
      <c r="B34" s="20" t="s">
        <v>8</v>
      </c>
    </row>
    <row r="35" spans="1:2" x14ac:dyDescent="0.3">
      <c r="A35" s="9" t="s">
        <v>186</v>
      </c>
      <c r="B35" s="20" t="s">
        <v>8</v>
      </c>
    </row>
    <row r="36" spans="1:2" x14ac:dyDescent="0.3">
      <c r="A36" s="9" t="s">
        <v>175</v>
      </c>
      <c r="B36" s="20" t="s">
        <v>8</v>
      </c>
    </row>
    <row r="37" spans="1:2" x14ac:dyDescent="0.3">
      <c r="A37" s="9" t="s">
        <v>193</v>
      </c>
      <c r="B37" s="20" t="s">
        <v>8</v>
      </c>
    </row>
  </sheetData>
  <phoneticPr fontId="17" type="noConversion"/>
  <pageMargins left="0.7" right="0.7" top="0.75" bottom="0.75" header="0.3" footer="0.3"/>
  <pageSetup paperSize="9" orientation="portrait" r:id="rId1"/>
  <customProperties>
    <customPr name="DVSECTION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24"/>
  <sheetViews>
    <sheetView topLeftCell="A19" workbookViewId="0">
      <selection activeCell="A20" sqref="A20"/>
    </sheetView>
  </sheetViews>
  <sheetFormatPr defaultRowHeight="16.5" x14ac:dyDescent="0.3"/>
  <cols>
    <col min="1" max="1" width="21.875" bestFit="1" customWidth="1"/>
    <col min="9" max="9" width="44.125" customWidth="1"/>
  </cols>
  <sheetData>
    <row r="1" spans="1:9" ht="31.5" x14ac:dyDescent="0.3">
      <c r="A1" s="75" t="s">
        <v>52</v>
      </c>
      <c r="B1" s="75"/>
      <c r="C1" s="75"/>
      <c r="D1" s="75"/>
      <c r="E1" s="75"/>
      <c r="F1" s="75"/>
      <c r="G1" s="75"/>
      <c r="H1" s="75"/>
      <c r="I1" s="75"/>
    </row>
    <row r="2" spans="1:9" x14ac:dyDescent="0.3">
      <c r="A2" s="18" t="s">
        <v>23</v>
      </c>
      <c r="B2" s="76" t="s">
        <v>24</v>
      </c>
      <c r="C2" s="76"/>
      <c r="D2" s="76"/>
      <c r="E2" s="76"/>
      <c r="F2" s="76"/>
      <c r="G2" s="76"/>
      <c r="H2" s="76"/>
      <c r="I2" s="76"/>
    </row>
    <row r="3" spans="1:9" ht="50.1" customHeight="1" x14ac:dyDescent="0.3">
      <c r="A3" s="19" t="s">
        <v>25</v>
      </c>
      <c r="B3" s="77" t="s">
        <v>41</v>
      </c>
      <c r="C3" s="78"/>
      <c r="D3" s="78"/>
      <c r="E3" s="78"/>
      <c r="F3" s="78"/>
      <c r="G3" s="78"/>
      <c r="H3" s="78"/>
      <c r="I3" s="78"/>
    </row>
    <row r="4" spans="1:9" x14ac:dyDescent="0.3">
      <c r="A4" s="19" t="s">
        <v>26</v>
      </c>
      <c r="B4" s="74" t="s">
        <v>42</v>
      </c>
      <c r="C4" s="74"/>
      <c r="D4" s="74"/>
      <c r="E4" s="74"/>
      <c r="F4" s="74"/>
      <c r="G4" s="74"/>
      <c r="H4" s="74"/>
      <c r="I4" s="74"/>
    </row>
    <row r="5" spans="1:9" ht="60" customHeight="1" x14ac:dyDescent="0.3">
      <c r="A5" s="19" t="s">
        <v>27</v>
      </c>
      <c r="B5" s="73" t="s">
        <v>43</v>
      </c>
      <c r="C5" s="74"/>
      <c r="D5" s="74"/>
      <c r="E5" s="74"/>
      <c r="F5" s="74"/>
      <c r="G5" s="74"/>
      <c r="H5" s="74"/>
      <c r="I5" s="74"/>
    </row>
    <row r="6" spans="1:9" ht="30" customHeight="1" x14ac:dyDescent="0.3">
      <c r="A6" s="19" t="s">
        <v>28</v>
      </c>
      <c r="B6" s="73" t="s">
        <v>44</v>
      </c>
      <c r="C6" s="74"/>
      <c r="D6" s="74"/>
      <c r="E6" s="74"/>
      <c r="F6" s="74"/>
      <c r="G6" s="74"/>
      <c r="H6" s="74"/>
      <c r="I6" s="74"/>
    </row>
    <row r="7" spans="1:9" x14ac:dyDescent="0.3">
      <c r="A7" s="19" t="s">
        <v>29</v>
      </c>
      <c r="B7" s="73" t="s">
        <v>45</v>
      </c>
      <c r="C7" s="74"/>
      <c r="D7" s="74"/>
      <c r="E7" s="74"/>
      <c r="F7" s="74"/>
      <c r="G7" s="74"/>
      <c r="H7" s="74"/>
      <c r="I7" s="74"/>
    </row>
    <row r="8" spans="1:9" ht="30" customHeight="1" x14ac:dyDescent="0.3">
      <c r="A8" s="19" t="s">
        <v>30</v>
      </c>
      <c r="B8" s="73" t="s">
        <v>46</v>
      </c>
      <c r="C8" s="74"/>
      <c r="D8" s="74"/>
      <c r="E8" s="74"/>
      <c r="F8" s="74"/>
      <c r="G8" s="74"/>
      <c r="H8" s="74"/>
      <c r="I8" s="74"/>
    </row>
    <row r="9" spans="1:9" ht="30" customHeight="1" x14ac:dyDescent="0.3">
      <c r="A9" s="19" t="s">
        <v>31</v>
      </c>
      <c r="B9" s="73" t="s">
        <v>53</v>
      </c>
      <c r="C9" s="74"/>
      <c r="D9" s="74"/>
      <c r="E9" s="74"/>
      <c r="F9" s="74"/>
      <c r="G9" s="74"/>
      <c r="H9" s="74"/>
      <c r="I9" s="74"/>
    </row>
    <row r="10" spans="1:9" ht="30" customHeight="1" x14ac:dyDescent="0.3">
      <c r="A10" s="19" t="s">
        <v>32</v>
      </c>
      <c r="B10" s="73" t="s">
        <v>54</v>
      </c>
      <c r="C10" s="73"/>
      <c r="D10" s="73"/>
      <c r="E10" s="73"/>
      <c r="F10" s="73"/>
      <c r="G10" s="73"/>
      <c r="H10" s="73"/>
      <c r="I10" s="73"/>
    </row>
    <row r="11" spans="1:9" ht="60" customHeight="1" x14ac:dyDescent="0.3">
      <c r="A11" s="19" t="s">
        <v>33</v>
      </c>
      <c r="B11" s="73" t="s">
        <v>47</v>
      </c>
      <c r="C11" s="73"/>
      <c r="D11" s="73"/>
      <c r="E11" s="73"/>
      <c r="F11" s="73"/>
      <c r="G11" s="73"/>
      <c r="H11" s="73"/>
      <c r="I11" s="73"/>
    </row>
    <row r="12" spans="1:9" ht="50.1" customHeight="1" x14ac:dyDescent="0.3">
      <c r="A12" s="19" t="s">
        <v>34</v>
      </c>
      <c r="B12" s="73" t="s">
        <v>48</v>
      </c>
      <c r="C12" s="73"/>
      <c r="D12" s="73"/>
      <c r="E12" s="73"/>
      <c r="F12" s="73"/>
      <c r="G12" s="73"/>
      <c r="H12" s="73"/>
      <c r="I12" s="73"/>
    </row>
    <row r="13" spans="1:9" ht="50.1" customHeight="1" x14ac:dyDescent="0.3">
      <c r="A13" s="19" t="s">
        <v>35</v>
      </c>
      <c r="B13" s="73" t="s">
        <v>55</v>
      </c>
      <c r="C13" s="73"/>
      <c r="D13" s="73"/>
      <c r="E13" s="73"/>
      <c r="F13" s="73"/>
      <c r="G13" s="73"/>
      <c r="H13" s="73"/>
      <c r="I13" s="73"/>
    </row>
    <row r="14" spans="1:9" ht="50.1" customHeight="1" x14ac:dyDescent="0.3">
      <c r="A14" s="19" t="s">
        <v>36</v>
      </c>
      <c r="B14" s="73" t="s">
        <v>49</v>
      </c>
      <c r="C14" s="73"/>
      <c r="D14" s="73"/>
      <c r="E14" s="73"/>
      <c r="F14" s="73"/>
      <c r="G14" s="73"/>
      <c r="H14" s="73"/>
      <c r="I14" s="73"/>
    </row>
    <row r="15" spans="1:9" ht="50.1" customHeight="1" x14ac:dyDescent="0.3">
      <c r="A15" s="19" t="s">
        <v>37</v>
      </c>
      <c r="B15" s="73" t="s">
        <v>50</v>
      </c>
      <c r="C15" s="73"/>
      <c r="D15" s="73"/>
      <c r="E15" s="73"/>
      <c r="F15" s="73"/>
      <c r="G15" s="73"/>
      <c r="H15" s="73"/>
      <c r="I15" s="73"/>
    </row>
    <row r="16" spans="1:9" ht="50.1" customHeight="1" x14ac:dyDescent="0.3">
      <c r="A16" s="19" t="s">
        <v>38</v>
      </c>
      <c r="B16" s="73" t="s">
        <v>51</v>
      </c>
      <c r="C16" s="73"/>
      <c r="D16" s="73"/>
      <c r="E16" s="73"/>
      <c r="F16" s="73"/>
      <c r="G16" s="73"/>
      <c r="H16" s="73"/>
      <c r="I16" s="73"/>
    </row>
    <row r="17" spans="1:9" x14ac:dyDescent="0.3">
      <c r="A17" s="19" t="s">
        <v>39</v>
      </c>
      <c r="B17" s="73"/>
      <c r="C17" s="73"/>
      <c r="D17" s="73"/>
      <c r="E17" s="73"/>
      <c r="F17" s="73"/>
      <c r="G17" s="73"/>
      <c r="H17" s="73"/>
      <c r="I17" s="73"/>
    </row>
    <row r="18" spans="1:9" x14ac:dyDescent="0.3">
      <c r="A18" s="19" t="s">
        <v>40</v>
      </c>
      <c r="B18" s="73"/>
      <c r="C18" s="73"/>
      <c r="D18" s="73"/>
      <c r="E18" s="73"/>
      <c r="F18" s="73"/>
      <c r="G18" s="73"/>
      <c r="H18" s="73"/>
      <c r="I18" s="73"/>
    </row>
    <row r="19" spans="1:9" x14ac:dyDescent="0.3">
      <c r="A19" s="19" t="s">
        <v>153</v>
      </c>
      <c r="B19" s="72" t="s">
        <v>158</v>
      </c>
      <c r="C19" s="72"/>
      <c r="D19" s="72"/>
      <c r="E19" s="72"/>
      <c r="F19" s="72"/>
      <c r="G19" s="72"/>
      <c r="H19" s="72"/>
      <c r="I19" s="72"/>
    </row>
    <row r="20" spans="1:9" x14ac:dyDescent="0.3">
      <c r="A20" s="19" t="s">
        <v>164</v>
      </c>
      <c r="B20" s="72" t="s">
        <v>165</v>
      </c>
      <c r="C20" s="72"/>
      <c r="D20" s="72"/>
      <c r="E20" s="72"/>
      <c r="F20" s="72"/>
      <c r="G20" s="72"/>
      <c r="H20" s="72"/>
      <c r="I20" s="72"/>
    </row>
    <row r="21" spans="1:9" x14ac:dyDescent="0.3">
      <c r="A21" s="19" t="s">
        <v>154</v>
      </c>
      <c r="B21" s="72" t="s">
        <v>159</v>
      </c>
      <c r="C21" s="72"/>
      <c r="D21" s="72"/>
      <c r="E21" s="72"/>
      <c r="F21" s="72"/>
      <c r="G21" s="72"/>
      <c r="H21" s="72"/>
      <c r="I21" s="72"/>
    </row>
    <row r="22" spans="1:9" x14ac:dyDescent="0.3">
      <c r="A22" s="19" t="s">
        <v>155</v>
      </c>
      <c r="B22" s="72" t="s">
        <v>160</v>
      </c>
      <c r="C22" s="72"/>
      <c r="D22" s="72"/>
      <c r="E22" s="72"/>
      <c r="F22" s="72"/>
      <c r="G22" s="72"/>
      <c r="H22" s="72"/>
      <c r="I22" s="72"/>
    </row>
    <row r="23" spans="1:9" x14ac:dyDescent="0.3">
      <c r="A23" s="19" t="s">
        <v>156</v>
      </c>
      <c r="B23" s="72" t="s">
        <v>161</v>
      </c>
      <c r="C23" s="72"/>
      <c r="D23" s="72"/>
      <c r="E23" s="72"/>
      <c r="F23" s="72"/>
      <c r="G23" s="72"/>
      <c r="H23" s="72"/>
      <c r="I23" s="72"/>
    </row>
    <row r="24" spans="1:9" x14ac:dyDescent="0.3">
      <c r="A24" s="19" t="s">
        <v>157</v>
      </c>
      <c r="B24" s="72" t="s">
        <v>162</v>
      </c>
      <c r="C24" s="72"/>
      <c r="D24" s="72"/>
      <c r="E24" s="72"/>
      <c r="F24" s="72"/>
      <c r="G24" s="72"/>
      <c r="H24" s="72"/>
      <c r="I24" s="72"/>
    </row>
  </sheetData>
  <mergeCells count="24">
    <mergeCell ref="B18:I18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6:I6"/>
    <mergeCell ref="A1:I1"/>
    <mergeCell ref="B2:I2"/>
    <mergeCell ref="B3:I3"/>
    <mergeCell ref="B4:I4"/>
    <mergeCell ref="B5:I5"/>
    <mergeCell ref="B24:I24"/>
    <mergeCell ref="B19:I19"/>
    <mergeCell ref="B20:I20"/>
    <mergeCell ref="B21:I21"/>
    <mergeCell ref="B22:I22"/>
    <mergeCell ref="B23:I23"/>
  </mergeCells>
  <phoneticPr fontId="3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1:D11"/>
  <sheetViews>
    <sheetView workbookViewId="0">
      <selection activeCell="C10" sqref="C10"/>
    </sheetView>
  </sheetViews>
  <sheetFormatPr defaultRowHeight="16.5" x14ac:dyDescent="0.3"/>
  <cols>
    <col min="3" max="3" width="14.375" customWidth="1"/>
  </cols>
  <sheetData>
    <row r="1" spans="2:4" x14ac:dyDescent="0.3">
      <c r="B1" t="s">
        <v>329</v>
      </c>
    </row>
    <row r="2" spans="2:4" x14ac:dyDescent="0.3">
      <c r="B2" s="68">
        <v>3</v>
      </c>
      <c r="C2" s="65" t="s">
        <v>330</v>
      </c>
      <c r="D2" t="s">
        <v>332</v>
      </c>
    </row>
    <row r="3" spans="2:4" x14ac:dyDescent="0.3">
      <c r="B3" s="68">
        <v>9.7900000000000001E-2</v>
      </c>
      <c r="C3" s="65" t="s">
        <v>331</v>
      </c>
      <c r="D3" t="s">
        <v>333</v>
      </c>
    </row>
    <row r="6" spans="2:4" x14ac:dyDescent="0.3">
      <c r="B6" t="s">
        <v>334</v>
      </c>
    </row>
    <row r="7" spans="2:4" x14ac:dyDescent="0.3">
      <c r="B7" t="s">
        <v>358</v>
      </c>
    </row>
    <row r="8" spans="2:4" x14ac:dyDescent="0.3">
      <c r="B8" t="s">
        <v>359</v>
      </c>
    </row>
    <row r="9" spans="2:4" x14ac:dyDescent="0.3">
      <c r="B9" t="s">
        <v>342</v>
      </c>
    </row>
    <row r="10" spans="2:4" x14ac:dyDescent="0.3">
      <c r="B10" t="s">
        <v>335</v>
      </c>
    </row>
    <row r="11" spans="2:4" ht="18" x14ac:dyDescent="0.3">
      <c r="B11" t="s">
        <v>336</v>
      </c>
    </row>
  </sheetData>
  <phoneticPr fontId="3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V19"/>
  <sheetViews>
    <sheetView workbookViewId="0"/>
  </sheetViews>
  <sheetFormatPr defaultRowHeight="16.5" x14ac:dyDescent="0.3"/>
  <sheetData>
    <row r="1" spans="1:256" x14ac:dyDescent="0.3">
      <c r="A1">
        <f>IF(Database!2:2,"AAAAAFP/3wA=",0)</f>
        <v>0</v>
      </c>
      <c r="B1" t="e">
        <f>AND(Database!A2,"AAAAAFP/3wE=")</f>
        <v>#VALUE!</v>
      </c>
      <c r="C1" t="e">
        <f>AND(Database!#REF!,"AAAAAFP/3wI=")</f>
        <v>#REF!</v>
      </c>
      <c r="D1" t="e">
        <f>AND(Database!#REF!,"AAAAAFP/3wM=")</f>
        <v>#REF!</v>
      </c>
      <c r="E1" t="e">
        <f>AND(Database!#REF!,"AAAAAFP/3wQ=")</f>
        <v>#REF!</v>
      </c>
      <c r="F1" t="e">
        <f>AND(Database!#REF!,"AAAAAFP/3wU=")</f>
        <v>#REF!</v>
      </c>
      <c r="G1" t="e">
        <f>AND(Database!#REF!,"AAAAAFP/3wY=")</f>
        <v>#REF!</v>
      </c>
      <c r="H1" t="e">
        <f>AND(Database!#REF!,"AAAAAFP/3wc=")</f>
        <v>#REF!</v>
      </c>
      <c r="I1" t="e">
        <f>AND(Database!#REF!,"AAAAAFP/3wg=")</f>
        <v>#REF!</v>
      </c>
      <c r="J1" t="e">
        <f>AND(Database!#REF!,"AAAAAFP/3wk=")</f>
        <v>#REF!</v>
      </c>
      <c r="K1" t="e">
        <f>AND(Database!#REF!,"AAAAAFP/3wo=")</f>
        <v>#REF!</v>
      </c>
      <c r="L1" t="e">
        <f>AND(Database!#REF!,"AAAAAFP/3ws=")</f>
        <v>#REF!</v>
      </c>
      <c r="M1" t="e">
        <f>AND(Database!#REF!,"AAAAAFP/3ww=")</f>
        <v>#REF!</v>
      </c>
      <c r="N1" t="e">
        <f>IF(Database!4:4,"AAAAAFP/3w0=",0)</f>
        <v>#VALUE!</v>
      </c>
      <c r="O1" t="e">
        <f>AND(Database!A4,"AAAAAFP/3w4=")</f>
        <v>#VALUE!</v>
      </c>
      <c r="P1" t="e">
        <f>AND(Database!#REF!,"AAAAAFP/3w8=")</f>
        <v>#REF!</v>
      </c>
      <c r="Q1" t="e">
        <f>AND(Database!#REF!,"AAAAAFP/3xA=")</f>
        <v>#REF!</v>
      </c>
      <c r="R1" t="e">
        <f>AND(Database!#REF!,"AAAAAFP/3xE=")</f>
        <v>#REF!</v>
      </c>
      <c r="S1" t="e">
        <f>AND(Database!#REF!,"AAAAAFP/3xI=")</f>
        <v>#REF!</v>
      </c>
      <c r="T1" t="e">
        <f>AND(Database!#REF!,"AAAAAFP/3xM=")</f>
        <v>#REF!</v>
      </c>
      <c r="U1" t="e">
        <f>AND(Database!#REF!,"AAAAAFP/3xQ=")</f>
        <v>#REF!</v>
      </c>
      <c r="V1" t="e">
        <f>AND(Database!#REF!,"AAAAAFP/3xU=")</f>
        <v>#REF!</v>
      </c>
      <c r="W1" t="e">
        <f>AND(Database!#REF!,"AAAAAFP/3xY=")</f>
        <v>#REF!</v>
      </c>
      <c r="X1" t="e">
        <f>AND(Database!#REF!,"AAAAAFP/3xc=")</f>
        <v>#REF!</v>
      </c>
      <c r="Y1" t="e">
        <f>AND(Database!#REF!,"AAAAAFP/3xg=")</f>
        <v>#REF!</v>
      </c>
      <c r="Z1" t="e">
        <f>AND(Database!#REF!,"AAAAAFP/3xk=")</f>
        <v>#REF!</v>
      </c>
      <c r="AA1" t="e">
        <f>IF(Database!#REF!,"AAAAAFP/3xo=",0)</f>
        <v>#REF!</v>
      </c>
      <c r="AB1" t="e">
        <f>AND(Database!#REF!,"AAAAAFP/3xs=")</f>
        <v>#REF!</v>
      </c>
      <c r="AC1" t="e">
        <f>AND(Database!#REF!,"AAAAAFP/3xw=")</f>
        <v>#REF!</v>
      </c>
      <c r="AD1" t="e">
        <f>AND(Database!#REF!,"AAAAAFP/3x0=")</f>
        <v>#REF!</v>
      </c>
      <c r="AE1" t="e">
        <f>AND(Database!#REF!,"AAAAAFP/3x4=")</f>
        <v>#REF!</v>
      </c>
      <c r="AF1" t="e">
        <f>AND(Database!#REF!,"AAAAAFP/3x8=")</f>
        <v>#REF!</v>
      </c>
      <c r="AG1" t="e">
        <f>AND(Database!#REF!,"AAAAAFP/3yA=")</f>
        <v>#REF!</v>
      </c>
      <c r="AH1" t="e">
        <f>AND(Database!#REF!,"AAAAAFP/3yE=")</f>
        <v>#REF!</v>
      </c>
      <c r="AI1" t="e">
        <f>AND(Database!#REF!,"AAAAAFP/3yI=")</f>
        <v>#REF!</v>
      </c>
      <c r="AJ1" t="e">
        <f>AND(Database!#REF!,"AAAAAFP/3yM=")</f>
        <v>#REF!</v>
      </c>
      <c r="AK1" t="e">
        <f>AND(Database!#REF!,"AAAAAFP/3yQ=")</f>
        <v>#REF!</v>
      </c>
      <c r="AL1" t="e">
        <f>AND(Database!#REF!,"AAAAAFP/3yU=")</f>
        <v>#REF!</v>
      </c>
      <c r="AM1" t="e">
        <f>AND(Database!#REF!,"AAAAAFP/3yY=")</f>
        <v>#REF!</v>
      </c>
      <c r="AN1" t="e">
        <f>IF(Database!#REF!,"AAAAAFP/3yc=",0)</f>
        <v>#REF!</v>
      </c>
      <c r="AO1" t="e">
        <f>AND(Database!#REF!,"AAAAAFP/3yg=")</f>
        <v>#REF!</v>
      </c>
      <c r="AP1" t="e">
        <f>AND(Database!#REF!,"AAAAAFP/3yk=")</f>
        <v>#REF!</v>
      </c>
      <c r="AQ1" t="e">
        <f>AND(Database!#REF!,"AAAAAFP/3yo=")</f>
        <v>#REF!</v>
      </c>
      <c r="AR1" t="e">
        <f>AND(Database!#REF!,"AAAAAFP/3ys=")</f>
        <v>#REF!</v>
      </c>
      <c r="AS1" t="e">
        <f>AND(Database!#REF!,"AAAAAFP/3yw=")</f>
        <v>#REF!</v>
      </c>
      <c r="AT1" t="e">
        <f>AND(Database!#REF!,"AAAAAFP/3y0=")</f>
        <v>#REF!</v>
      </c>
      <c r="AU1" t="e">
        <f>AND(Database!#REF!,"AAAAAFP/3y4=")</f>
        <v>#REF!</v>
      </c>
      <c r="AV1" t="e">
        <f>AND(Database!#REF!,"AAAAAFP/3y8=")</f>
        <v>#REF!</v>
      </c>
      <c r="AW1" t="e">
        <f>AND(Database!#REF!,"AAAAAFP/3zA=")</f>
        <v>#REF!</v>
      </c>
      <c r="AX1" t="e">
        <f>AND(Database!#REF!,"AAAAAFP/3zE=")</f>
        <v>#REF!</v>
      </c>
      <c r="AY1" t="e">
        <f>AND(Database!#REF!,"AAAAAFP/3zI=")</f>
        <v>#REF!</v>
      </c>
      <c r="AZ1" t="e">
        <f>AND(Database!#REF!,"AAAAAFP/3zM=")</f>
        <v>#REF!</v>
      </c>
      <c r="BA1" t="e">
        <f>IF(Database!#REF!,"AAAAAFP/3zQ=",0)</f>
        <v>#REF!</v>
      </c>
      <c r="BB1" t="e">
        <f>AND(Database!#REF!,"AAAAAFP/3zU=")</f>
        <v>#REF!</v>
      </c>
      <c r="BC1" t="e">
        <f>AND(Database!#REF!,"AAAAAFP/3zY=")</f>
        <v>#REF!</v>
      </c>
      <c r="BD1" t="e">
        <f>AND(Database!#REF!,"AAAAAFP/3zc=")</f>
        <v>#REF!</v>
      </c>
      <c r="BE1" t="e">
        <f>AND(Database!#REF!,"AAAAAFP/3zg=")</f>
        <v>#REF!</v>
      </c>
      <c r="BF1" t="e">
        <f>AND(Database!#REF!,"AAAAAFP/3zk=")</f>
        <v>#REF!</v>
      </c>
      <c r="BG1" t="e">
        <f>AND(Database!#REF!,"AAAAAFP/3zo=")</f>
        <v>#REF!</v>
      </c>
      <c r="BH1" t="e">
        <f>AND(Database!#REF!,"AAAAAFP/3zs=")</f>
        <v>#REF!</v>
      </c>
      <c r="BI1" t="e">
        <f>AND(Database!#REF!,"AAAAAFP/3zw=")</f>
        <v>#REF!</v>
      </c>
      <c r="BJ1" t="e">
        <f>AND(Database!#REF!,"AAAAAFP/3z0=")</f>
        <v>#REF!</v>
      </c>
      <c r="BK1" t="e">
        <f>AND(Database!#REF!,"AAAAAFP/3z4=")</f>
        <v>#REF!</v>
      </c>
      <c r="BL1" t="e">
        <f>AND(Database!#REF!,"AAAAAFP/3z8=")</f>
        <v>#REF!</v>
      </c>
      <c r="BM1" t="e">
        <f>AND(Database!#REF!,"AAAAAFP/30A=")</f>
        <v>#REF!</v>
      </c>
      <c r="BN1" t="e">
        <f>IF(Database!#REF!,"AAAAAFP/30E=",0)</f>
        <v>#REF!</v>
      </c>
      <c r="BO1" t="e">
        <f>AND(Database!#REF!,"AAAAAFP/30I=")</f>
        <v>#REF!</v>
      </c>
      <c r="BP1" t="e">
        <f>AND(Database!#REF!,"AAAAAFP/30M=")</f>
        <v>#REF!</v>
      </c>
      <c r="BQ1" t="e">
        <f>AND(Database!#REF!,"AAAAAFP/30Q=")</f>
        <v>#REF!</v>
      </c>
      <c r="BR1" t="e">
        <f>AND(Database!#REF!,"AAAAAFP/30U=")</f>
        <v>#REF!</v>
      </c>
      <c r="BS1" t="e">
        <f>AND(Database!#REF!,"AAAAAFP/30Y=")</f>
        <v>#REF!</v>
      </c>
      <c r="BT1" t="e">
        <f>AND(Database!#REF!,"AAAAAFP/30c=")</f>
        <v>#REF!</v>
      </c>
      <c r="BU1" t="e">
        <f>AND(Database!#REF!,"AAAAAFP/30g=")</f>
        <v>#REF!</v>
      </c>
      <c r="BV1" t="e">
        <f>AND(Database!#REF!,"AAAAAFP/30k=")</f>
        <v>#REF!</v>
      </c>
      <c r="BW1" t="e">
        <f>AND(Database!#REF!,"AAAAAFP/30o=")</f>
        <v>#REF!</v>
      </c>
      <c r="BX1" t="e">
        <f>AND(Database!#REF!,"AAAAAFP/30s=")</f>
        <v>#REF!</v>
      </c>
      <c r="BY1" t="e">
        <f>AND(Database!#REF!,"AAAAAFP/30w=")</f>
        <v>#REF!</v>
      </c>
      <c r="BZ1" t="e">
        <f>AND(Database!#REF!,"AAAAAFP/300=")</f>
        <v>#REF!</v>
      </c>
      <c r="CA1" t="e">
        <f>IF(Database!#REF!,"AAAAAFP/304=",0)</f>
        <v>#REF!</v>
      </c>
      <c r="CB1" t="e">
        <f>AND(Database!#REF!,"AAAAAFP/308=")</f>
        <v>#REF!</v>
      </c>
      <c r="CC1" t="e">
        <f>AND(Database!#REF!,"AAAAAFP/31A=")</f>
        <v>#REF!</v>
      </c>
      <c r="CD1" t="e">
        <f>AND(Database!#REF!,"AAAAAFP/31E=")</f>
        <v>#REF!</v>
      </c>
      <c r="CE1" t="e">
        <f>AND(Database!#REF!,"AAAAAFP/31I=")</f>
        <v>#REF!</v>
      </c>
      <c r="CF1" t="e">
        <f>AND(Database!#REF!,"AAAAAFP/31M=")</f>
        <v>#REF!</v>
      </c>
      <c r="CG1" t="e">
        <f>AND(Database!#REF!,"AAAAAFP/31Q=")</f>
        <v>#REF!</v>
      </c>
      <c r="CH1" t="e">
        <f>AND(Database!#REF!,"AAAAAFP/31U=")</f>
        <v>#REF!</v>
      </c>
      <c r="CI1" t="e">
        <f>AND(Database!#REF!,"AAAAAFP/31Y=")</f>
        <v>#REF!</v>
      </c>
      <c r="CJ1" t="e">
        <f>AND(Database!#REF!,"AAAAAFP/31c=")</f>
        <v>#REF!</v>
      </c>
      <c r="CK1" t="e">
        <f>AND(Database!#REF!,"AAAAAFP/31g=")</f>
        <v>#REF!</v>
      </c>
      <c r="CL1" t="e">
        <f>AND(Database!#REF!,"AAAAAFP/31k=")</f>
        <v>#REF!</v>
      </c>
      <c r="CM1" t="e">
        <f>AND(Database!#REF!,"AAAAAFP/31o=")</f>
        <v>#REF!</v>
      </c>
      <c r="CN1" t="e">
        <f>IF(Database!#REF!,"AAAAAFP/31s=",0)</f>
        <v>#REF!</v>
      </c>
      <c r="CO1" t="e">
        <f>AND(Database!#REF!,"AAAAAFP/31w=")</f>
        <v>#REF!</v>
      </c>
      <c r="CP1" t="e">
        <f>AND(Database!#REF!,"AAAAAFP/310=")</f>
        <v>#REF!</v>
      </c>
      <c r="CQ1" t="e">
        <f>AND(Database!#REF!,"AAAAAFP/314=")</f>
        <v>#REF!</v>
      </c>
      <c r="CR1" t="e">
        <f>AND(Database!#REF!,"AAAAAFP/318=")</f>
        <v>#REF!</v>
      </c>
      <c r="CS1" t="e">
        <f>AND(Database!#REF!,"AAAAAFP/32A=")</f>
        <v>#REF!</v>
      </c>
      <c r="CT1" t="e">
        <f>AND(Database!#REF!,"AAAAAFP/32E=")</f>
        <v>#REF!</v>
      </c>
      <c r="CU1" t="e">
        <f>AND(Database!#REF!,"AAAAAFP/32I=")</f>
        <v>#REF!</v>
      </c>
      <c r="CV1" t="e">
        <f>AND(Database!#REF!,"AAAAAFP/32M=")</f>
        <v>#REF!</v>
      </c>
      <c r="CW1" t="e">
        <f>AND(Database!#REF!,"AAAAAFP/32Q=")</f>
        <v>#REF!</v>
      </c>
      <c r="CX1" t="e">
        <f>AND(Database!#REF!,"AAAAAFP/32U=")</f>
        <v>#REF!</v>
      </c>
      <c r="CY1" t="e">
        <f>AND(Database!#REF!,"AAAAAFP/32Y=")</f>
        <v>#REF!</v>
      </c>
      <c r="CZ1" t="e">
        <f>AND(Database!#REF!,"AAAAAFP/32c=")</f>
        <v>#REF!</v>
      </c>
      <c r="DA1" t="e">
        <f>IF(Database!#REF!,"AAAAAFP/32g=",0)</f>
        <v>#REF!</v>
      </c>
      <c r="DB1" t="e">
        <f>AND(Database!#REF!,"AAAAAFP/32k=")</f>
        <v>#REF!</v>
      </c>
      <c r="DC1" t="e">
        <f>AND(Database!#REF!,"AAAAAFP/32o=")</f>
        <v>#REF!</v>
      </c>
      <c r="DD1" t="e">
        <f>AND(Database!#REF!,"AAAAAFP/32s=")</f>
        <v>#REF!</v>
      </c>
      <c r="DE1" t="e">
        <f>AND(Database!#REF!,"AAAAAFP/32w=")</f>
        <v>#REF!</v>
      </c>
      <c r="DF1" t="e">
        <f>AND(Database!#REF!,"AAAAAFP/320=")</f>
        <v>#REF!</v>
      </c>
      <c r="DG1" t="e">
        <f>AND(Database!#REF!,"AAAAAFP/324=")</f>
        <v>#REF!</v>
      </c>
      <c r="DH1" t="e">
        <f>AND(Database!#REF!,"AAAAAFP/328=")</f>
        <v>#REF!</v>
      </c>
      <c r="DI1" t="e">
        <f>AND(Database!#REF!,"AAAAAFP/33A=")</f>
        <v>#REF!</v>
      </c>
      <c r="DJ1" t="e">
        <f>AND(Database!#REF!,"AAAAAFP/33E=")</f>
        <v>#REF!</v>
      </c>
      <c r="DK1" t="e">
        <f>AND(Database!#REF!,"AAAAAFP/33I=")</f>
        <v>#REF!</v>
      </c>
      <c r="DL1" t="e">
        <f>AND(Database!#REF!,"AAAAAFP/33M=")</f>
        <v>#REF!</v>
      </c>
      <c r="DM1" t="e">
        <f>AND(Database!#REF!,"AAAAAFP/33Q=")</f>
        <v>#REF!</v>
      </c>
      <c r="DN1" t="e">
        <f>IF(Database!#REF!,"AAAAAFP/33U=",0)</f>
        <v>#REF!</v>
      </c>
      <c r="DO1" t="e">
        <f>AND(Database!#REF!,"AAAAAFP/33Y=")</f>
        <v>#REF!</v>
      </c>
      <c r="DP1" t="e">
        <f>AND(Database!#REF!,"AAAAAFP/33c=")</f>
        <v>#REF!</v>
      </c>
      <c r="DQ1" t="e">
        <f>AND(Database!#REF!,"AAAAAFP/33g=")</f>
        <v>#REF!</v>
      </c>
      <c r="DR1" t="e">
        <f>AND(Database!#REF!,"AAAAAFP/33k=")</f>
        <v>#REF!</v>
      </c>
      <c r="DS1" t="e">
        <f>AND(Database!#REF!,"AAAAAFP/33o=")</f>
        <v>#REF!</v>
      </c>
      <c r="DT1" t="e">
        <f>AND(Database!#REF!,"AAAAAFP/33s=")</f>
        <v>#REF!</v>
      </c>
      <c r="DU1" t="e">
        <f>AND(Database!#REF!,"AAAAAFP/33w=")</f>
        <v>#REF!</v>
      </c>
      <c r="DV1" t="e">
        <f>AND(Database!#REF!,"AAAAAFP/330=")</f>
        <v>#REF!</v>
      </c>
      <c r="DW1" t="e">
        <f>AND(Database!#REF!,"AAAAAFP/334=")</f>
        <v>#REF!</v>
      </c>
      <c r="DX1" t="e">
        <f>AND(Database!#REF!,"AAAAAFP/338=")</f>
        <v>#REF!</v>
      </c>
      <c r="DY1" t="e">
        <f>AND(Database!#REF!,"AAAAAFP/34A=")</f>
        <v>#REF!</v>
      </c>
      <c r="DZ1" t="e">
        <f>AND(Database!#REF!,"AAAAAFP/34E=")</f>
        <v>#REF!</v>
      </c>
      <c r="EA1" t="e">
        <f>IF(Database!#REF!,"AAAAAFP/34I=",0)</f>
        <v>#REF!</v>
      </c>
      <c r="EB1" t="e">
        <f>AND(Database!#REF!,"AAAAAFP/34M=")</f>
        <v>#REF!</v>
      </c>
      <c r="EC1" t="e">
        <f>AND(Database!#REF!,"AAAAAFP/34Q=")</f>
        <v>#REF!</v>
      </c>
      <c r="ED1" t="e">
        <f>AND(Database!#REF!,"AAAAAFP/34U=")</f>
        <v>#REF!</v>
      </c>
      <c r="EE1" t="e">
        <f>AND(Database!#REF!,"AAAAAFP/34Y=")</f>
        <v>#REF!</v>
      </c>
      <c r="EF1" t="e">
        <f>AND(Database!#REF!,"AAAAAFP/34c=")</f>
        <v>#REF!</v>
      </c>
      <c r="EG1" t="e">
        <f>AND(Database!#REF!,"AAAAAFP/34g=")</f>
        <v>#REF!</v>
      </c>
      <c r="EH1" t="e">
        <f>AND(Database!#REF!,"AAAAAFP/34k=")</f>
        <v>#REF!</v>
      </c>
      <c r="EI1" t="e">
        <f>AND(Database!#REF!,"AAAAAFP/34o=")</f>
        <v>#REF!</v>
      </c>
      <c r="EJ1" t="e">
        <f>AND(Database!#REF!,"AAAAAFP/34s=")</f>
        <v>#REF!</v>
      </c>
      <c r="EK1" t="e">
        <f>AND(Database!#REF!,"AAAAAFP/34w=")</f>
        <v>#REF!</v>
      </c>
      <c r="EL1" t="e">
        <f>AND(Database!#REF!,"AAAAAFP/340=")</f>
        <v>#REF!</v>
      </c>
      <c r="EM1" t="e">
        <f>AND(Database!#REF!,"AAAAAFP/344=")</f>
        <v>#REF!</v>
      </c>
      <c r="EN1" t="e">
        <f>IF(Database!#REF!,"AAAAAFP/348=",0)</f>
        <v>#REF!</v>
      </c>
      <c r="EO1" t="e">
        <f>AND(Database!#REF!,"AAAAAFP/35A=")</f>
        <v>#REF!</v>
      </c>
      <c r="EP1" t="e">
        <f>AND(Database!#REF!,"AAAAAFP/35E=")</f>
        <v>#REF!</v>
      </c>
      <c r="EQ1" t="e">
        <f>AND(Database!#REF!,"AAAAAFP/35I=")</f>
        <v>#REF!</v>
      </c>
      <c r="ER1" t="e">
        <f>AND(Database!#REF!,"AAAAAFP/35M=")</f>
        <v>#REF!</v>
      </c>
      <c r="ES1" t="e">
        <f>AND(Database!#REF!,"AAAAAFP/35Q=")</f>
        <v>#REF!</v>
      </c>
      <c r="ET1" t="e">
        <f>AND(Database!#REF!,"AAAAAFP/35U=")</f>
        <v>#REF!</v>
      </c>
      <c r="EU1" t="e">
        <f>AND(Database!#REF!,"AAAAAFP/35Y=")</f>
        <v>#REF!</v>
      </c>
      <c r="EV1" t="e">
        <f>AND(Database!#REF!,"AAAAAFP/35c=")</f>
        <v>#REF!</v>
      </c>
      <c r="EW1" t="e">
        <f>AND(Database!#REF!,"AAAAAFP/35g=")</f>
        <v>#REF!</v>
      </c>
      <c r="EX1" t="e">
        <f>AND(Database!#REF!,"AAAAAFP/35k=")</f>
        <v>#REF!</v>
      </c>
      <c r="EY1" t="e">
        <f>AND(Database!#REF!,"AAAAAFP/35o=")</f>
        <v>#REF!</v>
      </c>
      <c r="EZ1" t="e">
        <f>AND(Database!#REF!,"AAAAAFP/35s=")</f>
        <v>#REF!</v>
      </c>
      <c r="FA1" t="e">
        <f>IF(Database!#REF!,"AAAAAFP/35w=",0)</f>
        <v>#REF!</v>
      </c>
      <c r="FB1" t="e">
        <f>AND(Database!#REF!,"AAAAAFP/350=")</f>
        <v>#REF!</v>
      </c>
      <c r="FC1" t="e">
        <f>AND(Database!#REF!,"AAAAAFP/354=")</f>
        <v>#REF!</v>
      </c>
      <c r="FD1" t="e">
        <f>AND(Database!#REF!,"AAAAAFP/358=")</f>
        <v>#REF!</v>
      </c>
      <c r="FE1" t="e">
        <f>AND(Database!#REF!,"AAAAAFP/36A=")</f>
        <v>#REF!</v>
      </c>
      <c r="FF1" t="e">
        <f>AND(Database!#REF!,"AAAAAFP/36E=")</f>
        <v>#REF!</v>
      </c>
      <c r="FG1" t="e">
        <f>AND(Database!#REF!,"AAAAAFP/36I=")</f>
        <v>#REF!</v>
      </c>
      <c r="FH1" t="e">
        <f>AND(Database!#REF!,"AAAAAFP/36M=")</f>
        <v>#REF!</v>
      </c>
      <c r="FI1" t="e">
        <f>AND(Database!#REF!,"AAAAAFP/36Q=")</f>
        <v>#REF!</v>
      </c>
      <c r="FJ1" t="e">
        <f>AND(Database!#REF!,"AAAAAFP/36U=")</f>
        <v>#REF!</v>
      </c>
      <c r="FK1" t="e">
        <f>AND(Database!#REF!,"AAAAAFP/36Y=")</f>
        <v>#REF!</v>
      </c>
      <c r="FL1" t="e">
        <f>AND(Database!#REF!,"AAAAAFP/36c=")</f>
        <v>#REF!</v>
      </c>
      <c r="FM1" t="e">
        <f>AND(Database!#REF!,"AAAAAFP/36g=")</f>
        <v>#REF!</v>
      </c>
      <c r="FN1" t="e">
        <f>IF(Database!#REF!,"AAAAAFP/36k=",0)</f>
        <v>#REF!</v>
      </c>
      <c r="FO1" t="e">
        <f>AND(Database!#REF!,"AAAAAFP/36o=")</f>
        <v>#REF!</v>
      </c>
      <c r="FP1" t="e">
        <f>AND(Database!#REF!,"AAAAAFP/36s=")</f>
        <v>#REF!</v>
      </c>
      <c r="FQ1" t="e">
        <f>AND(Database!#REF!,"AAAAAFP/36w=")</f>
        <v>#REF!</v>
      </c>
      <c r="FR1" t="e">
        <f>AND(Database!#REF!,"AAAAAFP/360=")</f>
        <v>#REF!</v>
      </c>
      <c r="FS1" t="e">
        <f>AND(Database!#REF!,"AAAAAFP/364=")</f>
        <v>#REF!</v>
      </c>
      <c r="FT1" t="e">
        <f>AND(Database!#REF!,"AAAAAFP/368=")</f>
        <v>#REF!</v>
      </c>
      <c r="FU1" t="e">
        <f>AND(Database!#REF!,"AAAAAFP/37A=")</f>
        <v>#REF!</v>
      </c>
      <c r="FV1" t="e">
        <f>AND(Database!#REF!,"AAAAAFP/37E=")</f>
        <v>#REF!</v>
      </c>
      <c r="FW1" t="e">
        <f>AND(Database!#REF!,"AAAAAFP/37I=")</f>
        <v>#REF!</v>
      </c>
      <c r="FX1" t="e">
        <f>AND(Database!#REF!,"AAAAAFP/37M=")</f>
        <v>#REF!</v>
      </c>
      <c r="FY1" t="e">
        <f>AND(Database!#REF!,"AAAAAFP/37Q=")</f>
        <v>#REF!</v>
      </c>
      <c r="FZ1" t="e">
        <f>AND(Database!#REF!,"AAAAAFP/37U=")</f>
        <v>#REF!</v>
      </c>
      <c r="GA1" t="e">
        <f>IF(Database!#REF!,"AAAAAFP/37Y=",0)</f>
        <v>#REF!</v>
      </c>
      <c r="GB1" t="e">
        <f>AND(Database!#REF!,"AAAAAFP/37c=")</f>
        <v>#REF!</v>
      </c>
      <c r="GC1" t="e">
        <f>AND(Database!#REF!,"AAAAAFP/37g=")</f>
        <v>#REF!</v>
      </c>
      <c r="GD1" t="e">
        <f>AND(Database!#REF!,"AAAAAFP/37k=")</f>
        <v>#REF!</v>
      </c>
      <c r="GE1" t="e">
        <f>AND(Database!#REF!,"AAAAAFP/37o=")</f>
        <v>#REF!</v>
      </c>
      <c r="GF1" t="e">
        <f>AND(Database!#REF!,"AAAAAFP/37s=")</f>
        <v>#REF!</v>
      </c>
      <c r="GG1" t="e">
        <f>AND(Database!#REF!,"AAAAAFP/37w=")</f>
        <v>#REF!</v>
      </c>
      <c r="GH1" t="e">
        <f>AND(Database!#REF!,"AAAAAFP/370=")</f>
        <v>#REF!</v>
      </c>
      <c r="GI1" t="e">
        <f>AND(Database!#REF!,"AAAAAFP/374=")</f>
        <v>#REF!</v>
      </c>
      <c r="GJ1" t="e">
        <f>AND(Database!#REF!,"AAAAAFP/378=")</f>
        <v>#REF!</v>
      </c>
      <c r="GK1" t="e">
        <f>AND(Database!#REF!,"AAAAAFP/38A=")</f>
        <v>#REF!</v>
      </c>
      <c r="GL1" t="e">
        <f>AND(Database!#REF!,"AAAAAFP/38E=")</f>
        <v>#REF!</v>
      </c>
      <c r="GM1" t="e">
        <f>AND(Database!#REF!,"AAAAAFP/38I=")</f>
        <v>#REF!</v>
      </c>
      <c r="GN1" t="e">
        <f>IF(Database!#REF!,"AAAAAFP/38M=",0)</f>
        <v>#REF!</v>
      </c>
      <c r="GO1" t="e">
        <f>AND(Database!#REF!,"AAAAAFP/38Q=")</f>
        <v>#REF!</v>
      </c>
      <c r="GP1" t="e">
        <f>AND(Database!#REF!,"AAAAAFP/38U=")</f>
        <v>#REF!</v>
      </c>
      <c r="GQ1" t="e">
        <f>AND(Database!#REF!,"AAAAAFP/38Y=")</f>
        <v>#REF!</v>
      </c>
      <c r="GR1" t="e">
        <f>AND(Database!#REF!,"AAAAAFP/38c=")</f>
        <v>#REF!</v>
      </c>
      <c r="GS1" t="e">
        <f>AND(Database!#REF!,"AAAAAFP/38g=")</f>
        <v>#REF!</v>
      </c>
      <c r="GT1" t="e">
        <f>AND(Database!#REF!,"AAAAAFP/38k=")</f>
        <v>#REF!</v>
      </c>
      <c r="GU1" t="e">
        <f>AND(Database!#REF!,"AAAAAFP/38o=")</f>
        <v>#REF!</v>
      </c>
      <c r="GV1" t="e">
        <f>AND(Database!#REF!,"AAAAAFP/38s=")</f>
        <v>#REF!</v>
      </c>
      <c r="GW1" t="e">
        <f>AND(Database!#REF!,"AAAAAFP/38w=")</f>
        <v>#REF!</v>
      </c>
      <c r="GX1" t="e">
        <f>AND(Database!#REF!,"AAAAAFP/380=")</f>
        <v>#REF!</v>
      </c>
      <c r="GY1" t="e">
        <f>AND(Database!#REF!,"AAAAAFP/384=")</f>
        <v>#REF!</v>
      </c>
      <c r="GZ1" t="e">
        <f>AND(Database!#REF!,"AAAAAFP/388=")</f>
        <v>#REF!</v>
      </c>
      <c r="HA1" t="e">
        <f>IF(Database!#REF!,"AAAAAFP/39A=",0)</f>
        <v>#REF!</v>
      </c>
      <c r="HB1" t="e">
        <f>AND(Database!#REF!,"AAAAAFP/39E=")</f>
        <v>#REF!</v>
      </c>
      <c r="HC1" t="e">
        <f>AND(Database!#REF!,"AAAAAFP/39I=")</f>
        <v>#REF!</v>
      </c>
      <c r="HD1" t="e">
        <f>AND(Database!#REF!,"AAAAAFP/39M=")</f>
        <v>#REF!</v>
      </c>
      <c r="HE1" t="e">
        <f>AND(Database!#REF!,"AAAAAFP/39Q=")</f>
        <v>#REF!</v>
      </c>
      <c r="HF1" t="e">
        <f>AND(Database!#REF!,"AAAAAFP/39U=")</f>
        <v>#REF!</v>
      </c>
      <c r="HG1" t="e">
        <f>AND(Database!#REF!,"AAAAAFP/39Y=")</f>
        <v>#REF!</v>
      </c>
      <c r="HH1" t="e">
        <f>AND(Database!#REF!,"AAAAAFP/39c=")</f>
        <v>#REF!</v>
      </c>
      <c r="HI1" t="e">
        <f>AND(Database!#REF!,"AAAAAFP/39g=")</f>
        <v>#REF!</v>
      </c>
      <c r="HJ1" t="e">
        <f>AND(Database!#REF!,"AAAAAFP/39k=")</f>
        <v>#REF!</v>
      </c>
      <c r="HK1" t="e">
        <f>AND(Database!#REF!,"AAAAAFP/39o=")</f>
        <v>#REF!</v>
      </c>
      <c r="HL1" t="e">
        <f>AND(Database!#REF!,"AAAAAFP/39s=")</f>
        <v>#REF!</v>
      </c>
      <c r="HM1" t="e">
        <f>AND(Database!#REF!,"AAAAAFP/39w=")</f>
        <v>#REF!</v>
      </c>
      <c r="HN1" t="e">
        <f>IF(Database!#REF!,"AAAAAFP/390=",0)</f>
        <v>#REF!</v>
      </c>
      <c r="HO1" t="e">
        <f>AND(Database!#REF!,"AAAAAFP/394=")</f>
        <v>#REF!</v>
      </c>
      <c r="HP1" t="e">
        <f>AND(Database!#REF!,"AAAAAFP/398=")</f>
        <v>#REF!</v>
      </c>
      <c r="HQ1" t="e">
        <f>AND(Database!#REF!,"AAAAAFP/3+A=")</f>
        <v>#REF!</v>
      </c>
      <c r="HR1" t="e">
        <f>AND(Database!#REF!,"AAAAAFP/3+E=")</f>
        <v>#REF!</v>
      </c>
      <c r="HS1" t="e">
        <f>AND(Database!#REF!,"AAAAAFP/3+I=")</f>
        <v>#REF!</v>
      </c>
      <c r="HT1" t="e">
        <f>AND(Database!#REF!,"AAAAAFP/3+M=")</f>
        <v>#REF!</v>
      </c>
      <c r="HU1" t="e">
        <f>AND(Database!#REF!,"AAAAAFP/3+Q=")</f>
        <v>#REF!</v>
      </c>
      <c r="HV1" t="e">
        <f>AND(Database!#REF!,"AAAAAFP/3+U=")</f>
        <v>#REF!</v>
      </c>
      <c r="HW1" t="e">
        <f>AND(Database!#REF!,"AAAAAFP/3+Y=")</f>
        <v>#REF!</v>
      </c>
      <c r="HX1" t="e">
        <f>AND(Database!#REF!,"AAAAAFP/3+c=")</f>
        <v>#REF!</v>
      </c>
      <c r="HY1" t="e">
        <f>AND(Database!#REF!,"AAAAAFP/3+g=")</f>
        <v>#REF!</v>
      </c>
      <c r="HZ1" t="e">
        <f>AND(Database!#REF!,"AAAAAFP/3+k=")</f>
        <v>#REF!</v>
      </c>
      <c r="IA1" t="e">
        <f>IF(Database!#REF!,"AAAAAFP/3+o=",0)</f>
        <v>#REF!</v>
      </c>
      <c r="IB1" t="e">
        <f>AND(Database!#REF!,"AAAAAFP/3+s=")</f>
        <v>#REF!</v>
      </c>
      <c r="IC1" t="e">
        <f>AND(Database!#REF!,"AAAAAFP/3+w=")</f>
        <v>#REF!</v>
      </c>
      <c r="ID1" t="e">
        <f>AND(Database!#REF!,"AAAAAFP/3+0=")</f>
        <v>#REF!</v>
      </c>
      <c r="IE1" t="e">
        <f>AND(Database!#REF!,"AAAAAFP/3+4=")</f>
        <v>#REF!</v>
      </c>
      <c r="IF1" t="e">
        <f>AND(Database!#REF!,"AAAAAFP/3+8=")</f>
        <v>#REF!</v>
      </c>
      <c r="IG1" t="e">
        <f>AND(Database!#REF!,"AAAAAFP/3/A=")</f>
        <v>#REF!</v>
      </c>
      <c r="IH1" t="e">
        <f>AND(Database!#REF!,"AAAAAFP/3/E=")</f>
        <v>#REF!</v>
      </c>
      <c r="II1" t="e">
        <f>AND(Database!#REF!,"AAAAAFP/3/I=")</f>
        <v>#REF!</v>
      </c>
      <c r="IJ1" t="e">
        <f>AND(Database!#REF!,"AAAAAFP/3/M=")</f>
        <v>#REF!</v>
      </c>
      <c r="IK1" t="e">
        <f>AND(Database!#REF!,"AAAAAFP/3/Q=")</f>
        <v>#REF!</v>
      </c>
      <c r="IL1" t="e">
        <f>AND(Database!#REF!,"AAAAAFP/3/U=")</f>
        <v>#REF!</v>
      </c>
      <c r="IM1" t="e">
        <f>AND(Database!#REF!,"AAAAAFP/3/Y=")</f>
        <v>#REF!</v>
      </c>
      <c r="IN1" t="e">
        <f>IF(Database!#REF!,"AAAAAFP/3/c=",0)</f>
        <v>#REF!</v>
      </c>
      <c r="IO1" t="e">
        <f>AND(Database!#REF!,"AAAAAFP/3/g=")</f>
        <v>#REF!</v>
      </c>
      <c r="IP1" t="e">
        <f>AND(Database!#REF!,"AAAAAFP/3/k=")</f>
        <v>#REF!</v>
      </c>
      <c r="IQ1" t="e">
        <f>AND(Database!#REF!,"AAAAAFP/3/o=")</f>
        <v>#REF!</v>
      </c>
      <c r="IR1" t="e">
        <f>AND(Database!#REF!,"AAAAAFP/3/s=")</f>
        <v>#REF!</v>
      </c>
      <c r="IS1" t="e">
        <f>AND(Database!#REF!,"AAAAAFP/3/w=")</f>
        <v>#REF!</v>
      </c>
      <c r="IT1" t="e">
        <f>AND(Database!#REF!,"AAAAAFP/3/0=")</f>
        <v>#REF!</v>
      </c>
      <c r="IU1" t="e">
        <f>AND(Database!#REF!,"AAAAAFP/3/4=")</f>
        <v>#REF!</v>
      </c>
      <c r="IV1" t="e">
        <f>AND(Database!#REF!,"AAAAAFP/3/8=")</f>
        <v>#REF!</v>
      </c>
    </row>
    <row r="2" spans="1:256" x14ac:dyDescent="0.3">
      <c r="A2" t="e">
        <f>AND(Database!#REF!,"AAAAAB9h+QA=")</f>
        <v>#REF!</v>
      </c>
      <c r="B2" t="e">
        <f>AND(Database!#REF!,"AAAAAB9h+QE=")</f>
        <v>#REF!</v>
      </c>
      <c r="C2" t="e">
        <f>AND(Database!#REF!,"AAAAAB9h+QI=")</f>
        <v>#REF!</v>
      </c>
      <c r="D2" t="e">
        <f>AND(Database!#REF!,"AAAAAB9h+QM=")</f>
        <v>#REF!</v>
      </c>
      <c r="E2" t="e">
        <f>IF(Database!#REF!,"AAAAAB9h+QQ=",0)</f>
        <v>#REF!</v>
      </c>
      <c r="F2" t="e">
        <f>AND(Database!#REF!,"AAAAAB9h+QU=")</f>
        <v>#REF!</v>
      </c>
      <c r="G2" t="e">
        <f>AND(Database!#REF!,"AAAAAB9h+QY=")</f>
        <v>#REF!</v>
      </c>
      <c r="H2" t="e">
        <f>AND(Database!#REF!,"AAAAAB9h+Qc=")</f>
        <v>#REF!</v>
      </c>
      <c r="I2" t="e">
        <f>AND(Database!#REF!,"AAAAAB9h+Qg=")</f>
        <v>#REF!</v>
      </c>
      <c r="J2" t="e">
        <f>AND(Database!#REF!,"AAAAAB9h+Qk=")</f>
        <v>#REF!</v>
      </c>
      <c r="K2" t="e">
        <f>AND(Database!#REF!,"AAAAAB9h+Qo=")</f>
        <v>#REF!</v>
      </c>
      <c r="L2" t="e">
        <f>AND(Database!#REF!,"AAAAAB9h+Qs=")</f>
        <v>#REF!</v>
      </c>
      <c r="M2" t="e">
        <f>AND(Database!#REF!,"AAAAAB9h+Qw=")</f>
        <v>#REF!</v>
      </c>
      <c r="N2" t="e">
        <f>AND(Database!#REF!,"AAAAAB9h+Q0=")</f>
        <v>#REF!</v>
      </c>
      <c r="O2" t="e">
        <f>AND(Database!#REF!,"AAAAAB9h+Q4=")</f>
        <v>#REF!</v>
      </c>
      <c r="P2" t="e">
        <f>AND(Database!#REF!,"AAAAAB9h+Q8=")</f>
        <v>#REF!</v>
      </c>
      <c r="Q2" t="e">
        <f>AND(Database!#REF!,"AAAAAB9h+RA=")</f>
        <v>#REF!</v>
      </c>
      <c r="R2" t="e">
        <f>IF(Database!#REF!,"AAAAAB9h+RE=",0)</f>
        <v>#REF!</v>
      </c>
      <c r="S2" t="e">
        <f>AND(Database!#REF!,"AAAAAB9h+RI=")</f>
        <v>#REF!</v>
      </c>
      <c r="T2" t="e">
        <f>AND(Database!#REF!,"AAAAAB9h+RM=")</f>
        <v>#REF!</v>
      </c>
      <c r="U2" t="e">
        <f>AND(Database!#REF!,"AAAAAB9h+RQ=")</f>
        <v>#REF!</v>
      </c>
      <c r="V2" t="e">
        <f>AND(Database!#REF!,"AAAAAB9h+RU=")</f>
        <v>#REF!</v>
      </c>
      <c r="W2" t="e">
        <f>AND(Database!#REF!,"AAAAAB9h+RY=")</f>
        <v>#REF!</v>
      </c>
      <c r="X2" t="e">
        <f>AND(Database!#REF!,"AAAAAB9h+Rc=")</f>
        <v>#REF!</v>
      </c>
      <c r="Y2" t="e">
        <f>AND(Database!#REF!,"AAAAAB9h+Rg=")</f>
        <v>#REF!</v>
      </c>
      <c r="Z2" t="e">
        <f>AND(Database!#REF!,"AAAAAB9h+Rk=")</f>
        <v>#REF!</v>
      </c>
      <c r="AA2" t="e">
        <f>AND(Database!#REF!,"AAAAAB9h+Ro=")</f>
        <v>#REF!</v>
      </c>
      <c r="AB2" t="e">
        <f>AND(Database!#REF!,"AAAAAB9h+Rs=")</f>
        <v>#REF!</v>
      </c>
      <c r="AC2" t="e">
        <f>AND(Database!#REF!,"AAAAAB9h+Rw=")</f>
        <v>#REF!</v>
      </c>
      <c r="AD2" t="e">
        <f>AND(Database!#REF!,"AAAAAB9h+R0=")</f>
        <v>#REF!</v>
      </c>
      <c r="AE2" t="e">
        <f>IF(Database!#REF!,"AAAAAB9h+R4=",0)</f>
        <v>#REF!</v>
      </c>
      <c r="AF2" t="e">
        <f>AND(Database!#REF!,"AAAAAB9h+R8=")</f>
        <v>#REF!</v>
      </c>
      <c r="AG2" t="e">
        <f>AND(Database!#REF!,"AAAAAB9h+SA=")</f>
        <v>#REF!</v>
      </c>
      <c r="AH2" t="e">
        <f>AND(Database!#REF!,"AAAAAB9h+SE=")</f>
        <v>#REF!</v>
      </c>
      <c r="AI2" t="e">
        <f>AND(Database!#REF!,"AAAAAB9h+SI=")</f>
        <v>#REF!</v>
      </c>
      <c r="AJ2" t="e">
        <f>AND(Database!#REF!,"AAAAAB9h+SM=")</f>
        <v>#REF!</v>
      </c>
      <c r="AK2" t="e">
        <f>AND(Database!#REF!,"AAAAAB9h+SQ=")</f>
        <v>#REF!</v>
      </c>
      <c r="AL2" t="e">
        <f>AND(Database!#REF!,"AAAAAB9h+SU=")</f>
        <v>#REF!</v>
      </c>
      <c r="AM2" t="e">
        <f>AND(Database!#REF!,"AAAAAB9h+SY=")</f>
        <v>#REF!</v>
      </c>
      <c r="AN2" t="e">
        <f>AND(Database!#REF!,"AAAAAB9h+Sc=")</f>
        <v>#REF!</v>
      </c>
      <c r="AO2" t="e">
        <f>AND(Database!#REF!,"AAAAAB9h+Sg=")</f>
        <v>#REF!</v>
      </c>
      <c r="AP2" t="e">
        <f>AND(Database!#REF!,"AAAAAB9h+Sk=")</f>
        <v>#REF!</v>
      </c>
      <c r="AQ2" t="e">
        <f>AND(Database!#REF!,"AAAAAB9h+So=")</f>
        <v>#REF!</v>
      </c>
      <c r="AR2" t="e">
        <f>IF(Database!#REF!,"AAAAAB9h+Ss=",0)</f>
        <v>#REF!</v>
      </c>
      <c r="AS2" t="e">
        <f>AND(Database!#REF!,"AAAAAB9h+Sw=")</f>
        <v>#REF!</v>
      </c>
      <c r="AT2" t="e">
        <f>AND(Database!#REF!,"AAAAAB9h+S0=")</f>
        <v>#REF!</v>
      </c>
      <c r="AU2" t="e">
        <f>AND(Database!#REF!,"AAAAAB9h+S4=")</f>
        <v>#REF!</v>
      </c>
      <c r="AV2" t="e">
        <f>AND(Database!#REF!,"AAAAAB9h+S8=")</f>
        <v>#REF!</v>
      </c>
      <c r="AW2" t="e">
        <f>AND(Database!#REF!,"AAAAAB9h+TA=")</f>
        <v>#REF!</v>
      </c>
      <c r="AX2" t="e">
        <f>AND(Database!#REF!,"AAAAAB9h+TE=")</f>
        <v>#REF!</v>
      </c>
      <c r="AY2" t="e">
        <f>AND(Database!#REF!,"AAAAAB9h+TI=")</f>
        <v>#REF!</v>
      </c>
      <c r="AZ2" t="e">
        <f>AND(Database!#REF!,"AAAAAB9h+TM=")</f>
        <v>#REF!</v>
      </c>
      <c r="BA2" t="e">
        <f>AND(Database!#REF!,"AAAAAB9h+TQ=")</f>
        <v>#REF!</v>
      </c>
      <c r="BB2" t="e">
        <f>AND(Database!#REF!,"AAAAAB9h+TU=")</f>
        <v>#REF!</v>
      </c>
      <c r="BC2" t="e">
        <f>AND(Database!#REF!,"AAAAAB9h+TY=")</f>
        <v>#REF!</v>
      </c>
      <c r="BD2" t="e">
        <f>AND(Database!#REF!,"AAAAAB9h+Tc=")</f>
        <v>#REF!</v>
      </c>
      <c r="BE2" t="e">
        <f>IF(Database!#REF!,"AAAAAB9h+Tg=",0)</f>
        <v>#REF!</v>
      </c>
      <c r="BF2" t="e">
        <f>AND(Database!#REF!,"AAAAAB9h+Tk=")</f>
        <v>#REF!</v>
      </c>
      <c r="BG2" t="e">
        <f>AND(Database!#REF!,"AAAAAB9h+To=")</f>
        <v>#REF!</v>
      </c>
      <c r="BH2" t="e">
        <f>AND(Database!#REF!,"AAAAAB9h+Ts=")</f>
        <v>#REF!</v>
      </c>
      <c r="BI2" t="e">
        <f>AND(Database!#REF!,"AAAAAB9h+Tw=")</f>
        <v>#REF!</v>
      </c>
      <c r="BJ2" t="e">
        <f>AND(Database!#REF!,"AAAAAB9h+T0=")</f>
        <v>#REF!</v>
      </c>
      <c r="BK2" t="e">
        <f>AND(Database!#REF!,"AAAAAB9h+T4=")</f>
        <v>#REF!</v>
      </c>
      <c r="BL2" t="e">
        <f>AND(Database!#REF!,"AAAAAB9h+T8=")</f>
        <v>#REF!</v>
      </c>
      <c r="BM2" t="e">
        <f>AND(Database!#REF!,"AAAAAB9h+UA=")</f>
        <v>#REF!</v>
      </c>
      <c r="BN2" t="e">
        <f>AND(Database!#REF!,"AAAAAB9h+UE=")</f>
        <v>#REF!</v>
      </c>
      <c r="BO2" t="e">
        <f>AND(Database!#REF!,"AAAAAB9h+UI=")</f>
        <v>#REF!</v>
      </c>
      <c r="BP2" t="e">
        <f>AND(Database!#REF!,"AAAAAB9h+UM=")</f>
        <v>#REF!</v>
      </c>
      <c r="BQ2" t="e">
        <f>AND(Database!#REF!,"AAAAAB9h+UQ=")</f>
        <v>#REF!</v>
      </c>
      <c r="BR2" t="e">
        <f>IF(Database!#REF!,"AAAAAB9h+UU=",0)</f>
        <v>#REF!</v>
      </c>
      <c r="BS2" t="e">
        <f>AND(Database!#REF!,"AAAAAB9h+UY=")</f>
        <v>#REF!</v>
      </c>
      <c r="BT2" t="e">
        <f>AND(Database!#REF!,"AAAAAB9h+Uc=")</f>
        <v>#REF!</v>
      </c>
      <c r="BU2" t="e">
        <f>AND(Database!#REF!,"AAAAAB9h+Ug=")</f>
        <v>#REF!</v>
      </c>
      <c r="BV2" t="e">
        <f>AND(Database!#REF!,"AAAAAB9h+Uk=")</f>
        <v>#REF!</v>
      </c>
      <c r="BW2" t="e">
        <f>AND(Database!#REF!,"AAAAAB9h+Uo=")</f>
        <v>#REF!</v>
      </c>
      <c r="BX2" t="e">
        <f>AND(Database!#REF!,"AAAAAB9h+Us=")</f>
        <v>#REF!</v>
      </c>
      <c r="BY2" t="e">
        <f>AND(Database!#REF!,"AAAAAB9h+Uw=")</f>
        <v>#REF!</v>
      </c>
      <c r="BZ2" t="e">
        <f>AND(Database!#REF!,"AAAAAB9h+U0=")</f>
        <v>#REF!</v>
      </c>
      <c r="CA2" t="e">
        <f>AND(Database!#REF!,"AAAAAB9h+U4=")</f>
        <v>#REF!</v>
      </c>
      <c r="CB2" t="e">
        <f>AND(Database!#REF!,"AAAAAB9h+U8=")</f>
        <v>#REF!</v>
      </c>
      <c r="CC2" t="e">
        <f>AND(Database!#REF!,"AAAAAB9h+VA=")</f>
        <v>#REF!</v>
      </c>
      <c r="CD2" t="e">
        <f>AND(Database!#REF!,"AAAAAB9h+VE=")</f>
        <v>#REF!</v>
      </c>
      <c r="CE2" t="e">
        <f>IF(Database!#REF!,"AAAAAB9h+VI=",0)</f>
        <v>#REF!</v>
      </c>
      <c r="CF2" t="e">
        <f>AND(Database!#REF!,"AAAAAB9h+VM=")</f>
        <v>#REF!</v>
      </c>
      <c r="CG2" t="e">
        <f>AND(Database!#REF!,"AAAAAB9h+VQ=")</f>
        <v>#REF!</v>
      </c>
      <c r="CH2" t="e">
        <f>AND(Database!#REF!,"AAAAAB9h+VU=")</f>
        <v>#REF!</v>
      </c>
      <c r="CI2" t="e">
        <f>AND(Database!#REF!,"AAAAAB9h+VY=")</f>
        <v>#REF!</v>
      </c>
      <c r="CJ2" t="e">
        <f>AND(Database!#REF!,"AAAAAB9h+Vc=")</f>
        <v>#REF!</v>
      </c>
      <c r="CK2" t="e">
        <f>AND(Database!#REF!,"AAAAAB9h+Vg=")</f>
        <v>#REF!</v>
      </c>
      <c r="CL2" t="e">
        <f>AND(Database!#REF!,"AAAAAB9h+Vk=")</f>
        <v>#REF!</v>
      </c>
      <c r="CM2" t="e">
        <f>AND(Database!#REF!,"AAAAAB9h+Vo=")</f>
        <v>#REF!</v>
      </c>
      <c r="CN2" t="e">
        <f>AND(Database!#REF!,"AAAAAB9h+Vs=")</f>
        <v>#REF!</v>
      </c>
      <c r="CO2" t="e">
        <f>AND(Database!#REF!,"AAAAAB9h+Vw=")</f>
        <v>#REF!</v>
      </c>
      <c r="CP2" t="e">
        <f>AND(Database!#REF!,"AAAAAB9h+V0=")</f>
        <v>#REF!</v>
      </c>
      <c r="CQ2" t="e">
        <f>AND(Database!#REF!,"AAAAAB9h+V4=")</f>
        <v>#REF!</v>
      </c>
      <c r="CR2" t="e">
        <f>IF(Database!#REF!,"AAAAAB9h+V8=",0)</f>
        <v>#REF!</v>
      </c>
      <c r="CS2" t="e">
        <f>AND(Database!#REF!,"AAAAAB9h+WA=")</f>
        <v>#REF!</v>
      </c>
      <c r="CT2" t="e">
        <f>AND(Database!#REF!,"AAAAAB9h+WE=")</f>
        <v>#REF!</v>
      </c>
      <c r="CU2" t="e">
        <f>AND(Database!#REF!,"AAAAAB9h+WI=")</f>
        <v>#REF!</v>
      </c>
      <c r="CV2" t="e">
        <f>AND(Database!#REF!,"AAAAAB9h+WM=")</f>
        <v>#REF!</v>
      </c>
      <c r="CW2" t="e">
        <f>AND(Database!#REF!,"AAAAAB9h+WQ=")</f>
        <v>#REF!</v>
      </c>
      <c r="CX2" t="e">
        <f>AND(Database!#REF!,"AAAAAB9h+WU=")</f>
        <v>#REF!</v>
      </c>
      <c r="CY2" t="e">
        <f>AND(Database!#REF!,"AAAAAB9h+WY=")</f>
        <v>#REF!</v>
      </c>
      <c r="CZ2" t="e">
        <f>AND(Database!#REF!,"AAAAAB9h+Wc=")</f>
        <v>#REF!</v>
      </c>
      <c r="DA2" t="e">
        <f>AND(Database!#REF!,"AAAAAB9h+Wg=")</f>
        <v>#REF!</v>
      </c>
      <c r="DB2" t="e">
        <f>AND(Database!#REF!,"AAAAAB9h+Wk=")</f>
        <v>#REF!</v>
      </c>
      <c r="DC2" t="e">
        <f>AND(Database!#REF!,"AAAAAB9h+Wo=")</f>
        <v>#REF!</v>
      </c>
      <c r="DD2" t="e">
        <f>AND(Database!#REF!,"AAAAAB9h+Ws=")</f>
        <v>#REF!</v>
      </c>
      <c r="DE2" t="e">
        <f>IF(Database!#REF!,"AAAAAB9h+Ww=",0)</f>
        <v>#REF!</v>
      </c>
      <c r="DF2" t="e">
        <f>AND(Database!#REF!,"AAAAAB9h+W0=")</f>
        <v>#REF!</v>
      </c>
      <c r="DG2" t="e">
        <f>AND(Database!#REF!,"AAAAAB9h+W4=")</f>
        <v>#REF!</v>
      </c>
      <c r="DH2" t="e">
        <f>AND(Database!#REF!,"AAAAAB9h+W8=")</f>
        <v>#REF!</v>
      </c>
      <c r="DI2" t="e">
        <f>AND(Database!#REF!,"AAAAAB9h+XA=")</f>
        <v>#REF!</v>
      </c>
      <c r="DJ2" t="e">
        <f>AND(Database!#REF!,"AAAAAB9h+XE=")</f>
        <v>#REF!</v>
      </c>
      <c r="DK2" t="e">
        <f>AND(Database!#REF!,"AAAAAB9h+XI=")</f>
        <v>#REF!</v>
      </c>
      <c r="DL2" t="e">
        <f>AND(Database!#REF!,"AAAAAB9h+XM=")</f>
        <v>#REF!</v>
      </c>
      <c r="DM2" t="e">
        <f>AND(Database!#REF!,"AAAAAB9h+XQ=")</f>
        <v>#REF!</v>
      </c>
      <c r="DN2" t="e">
        <f>AND(Database!#REF!,"AAAAAB9h+XU=")</f>
        <v>#REF!</v>
      </c>
      <c r="DO2" t="e">
        <f>AND(Database!#REF!,"AAAAAB9h+XY=")</f>
        <v>#REF!</v>
      </c>
      <c r="DP2" t="e">
        <f>AND(Database!#REF!,"AAAAAB9h+Xc=")</f>
        <v>#REF!</v>
      </c>
      <c r="DQ2" t="e">
        <f>AND(Database!#REF!,"AAAAAB9h+Xg=")</f>
        <v>#REF!</v>
      </c>
      <c r="DR2" t="e">
        <f>IF(Database!#REF!,"AAAAAB9h+Xk=",0)</f>
        <v>#REF!</v>
      </c>
      <c r="DS2" t="e">
        <f>AND(Database!#REF!,"AAAAAB9h+Xo=")</f>
        <v>#REF!</v>
      </c>
      <c r="DT2" t="e">
        <f>AND(Database!#REF!,"AAAAAB9h+Xs=")</f>
        <v>#REF!</v>
      </c>
      <c r="DU2" t="e">
        <f>AND(Database!#REF!,"AAAAAB9h+Xw=")</f>
        <v>#REF!</v>
      </c>
      <c r="DV2" t="e">
        <f>AND(Database!#REF!,"AAAAAB9h+X0=")</f>
        <v>#REF!</v>
      </c>
      <c r="DW2" t="e">
        <f>AND(Database!#REF!,"AAAAAB9h+X4=")</f>
        <v>#REF!</v>
      </c>
      <c r="DX2" t="e">
        <f>AND(Database!#REF!,"AAAAAB9h+X8=")</f>
        <v>#REF!</v>
      </c>
      <c r="DY2" t="e">
        <f>AND(Database!#REF!,"AAAAAB9h+YA=")</f>
        <v>#REF!</v>
      </c>
      <c r="DZ2" t="e">
        <f>AND(Database!#REF!,"AAAAAB9h+YE=")</f>
        <v>#REF!</v>
      </c>
      <c r="EA2" t="e">
        <f>AND(Database!#REF!,"AAAAAB9h+YI=")</f>
        <v>#REF!</v>
      </c>
      <c r="EB2" t="e">
        <f>AND(Database!#REF!,"AAAAAB9h+YM=")</f>
        <v>#REF!</v>
      </c>
      <c r="EC2" t="e">
        <f>AND(Database!#REF!,"AAAAAB9h+YQ=")</f>
        <v>#REF!</v>
      </c>
      <c r="ED2" t="e">
        <f>AND(Database!#REF!,"AAAAAB9h+YU=")</f>
        <v>#REF!</v>
      </c>
      <c r="EE2" t="e">
        <f>IF(Database!#REF!,"AAAAAB9h+YY=",0)</f>
        <v>#REF!</v>
      </c>
      <c r="EF2" t="e">
        <f>AND(Database!#REF!,"AAAAAB9h+Yc=")</f>
        <v>#REF!</v>
      </c>
      <c r="EG2" t="e">
        <f>AND(Database!#REF!,"AAAAAB9h+Yg=")</f>
        <v>#REF!</v>
      </c>
      <c r="EH2" t="e">
        <f>AND(Database!#REF!,"AAAAAB9h+Yk=")</f>
        <v>#REF!</v>
      </c>
      <c r="EI2" t="e">
        <f>AND(Database!#REF!,"AAAAAB9h+Yo=")</f>
        <v>#REF!</v>
      </c>
      <c r="EJ2" t="e">
        <f>AND(Database!#REF!,"AAAAAB9h+Ys=")</f>
        <v>#REF!</v>
      </c>
      <c r="EK2" t="e">
        <f>AND(Database!#REF!,"AAAAAB9h+Yw=")</f>
        <v>#REF!</v>
      </c>
      <c r="EL2" t="e">
        <f>AND(Database!#REF!,"AAAAAB9h+Y0=")</f>
        <v>#REF!</v>
      </c>
      <c r="EM2" t="e">
        <f>AND(Database!#REF!,"AAAAAB9h+Y4=")</f>
        <v>#REF!</v>
      </c>
      <c r="EN2" t="e">
        <f>AND(Database!#REF!,"AAAAAB9h+Y8=")</f>
        <v>#REF!</v>
      </c>
      <c r="EO2" t="e">
        <f>AND(Database!#REF!,"AAAAAB9h+ZA=")</f>
        <v>#REF!</v>
      </c>
      <c r="EP2" t="e">
        <f>AND(Database!#REF!,"AAAAAB9h+ZE=")</f>
        <v>#REF!</v>
      </c>
      <c r="EQ2" t="e">
        <f>AND(Database!#REF!,"AAAAAB9h+ZI=")</f>
        <v>#REF!</v>
      </c>
      <c r="ER2" t="e">
        <f>IF(Database!#REF!,"AAAAAB9h+ZM=",0)</f>
        <v>#REF!</v>
      </c>
      <c r="ES2" t="e">
        <f>AND(Database!#REF!,"AAAAAB9h+ZQ=")</f>
        <v>#REF!</v>
      </c>
      <c r="ET2" t="e">
        <f>AND(Database!#REF!,"AAAAAB9h+ZU=")</f>
        <v>#REF!</v>
      </c>
      <c r="EU2" t="e">
        <f>AND(Database!#REF!,"AAAAAB9h+ZY=")</f>
        <v>#REF!</v>
      </c>
      <c r="EV2" t="e">
        <f>AND(Database!#REF!,"AAAAAB9h+Zc=")</f>
        <v>#REF!</v>
      </c>
      <c r="EW2" t="e">
        <f>AND(Database!#REF!,"AAAAAB9h+Zg=")</f>
        <v>#REF!</v>
      </c>
      <c r="EX2" t="e">
        <f>AND(Database!#REF!,"AAAAAB9h+Zk=")</f>
        <v>#REF!</v>
      </c>
      <c r="EY2" t="e">
        <f>AND(Database!#REF!,"AAAAAB9h+Zo=")</f>
        <v>#REF!</v>
      </c>
      <c r="EZ2" t="e">
        <f>AND(Database!#REF!,"AAAAAB9h+Zs=")</f>
        <v>#REF!</v>
      </c>
      <c r="FA2" t="e">
        <f>AND(Database!#REF!,"AAAAAB9h+Zw=")</f>
        <v>#REF!</v>
      </c>
      <c r="FB2" t="e">
        <f>AND(Database!#REF!,"AAAAAB9h+Z0=")</f>
        <v>#REF!</v>
      </c>
      <c r="FC2" t="e">
        <f>AND(Database!#REF!,"AAAAAB9h+Z4=")</f>
        <v>#REF!</v>
      </c>
      <c r="FD2" t="e">
        <f>AND(Database!#REF!,"AAAAAB9h+Z8=")</f>
        <v>#REF!</v>
      </c>
      <c r="FE2" t="e">
        <f>IF(Database!#REF!,"AAAAAB9h+aA=",0)</f>
        <v>#REF!</v>
      </c>
      <c r="FF2" t="e">
        <f>AND(Database!#REF!,"AAAAAB9h+aE=")</f>
        <v>#REF!</v>
      </c>
      <c r="FG2" t="e">
        <f>AND(Database!#REF!,"AAAAAB9h+aI=")</f>
        <v>#REF!</v>
      </c>
      <c r="FH2" t="e">
        <f>AND(Database!#REF!,"AAAAAB9h+aM=")</f>
        <v>#REF!</v>
      </c>
      <c r="FI2" t="e">
        <f>AND(Database!#REF!,"AAAAAB9h+aQ=")</f>
        <v>#REF!</v>
      </c>
      <c r="FJ2" t="e">
        <f>AND(Database!#REF!,"AAAAAB9h+aU=")</f>
        <v>#REF!</v>
      </c>
      <c r="FK2" t="e">
        <f>AND(Database!#REF!,"AAAAAB9h+aY=")</f>
        <v>#REF!</v>
      </c>
      <c r="FL2" t="e">
        <f>AND(Database!#REF!,"AAAAAB9h+ac=")</f>
        <v>#REF!</v>
      </c>
      <c r="FM2" t="e">
        <f>AND(Database!#REF!,"AAAAAB9h+ag=")</f>
        <v>#REF!</v>
      </c>
      <c r="FN2" t="e">
        <f>AND(Database!#REF!,"AAAAAB9h+ak=")</f>
        <v>#REF!</v>
      </c>
      <c r="FO2" t="e">
        <f>AND(Database!#REF!,"AAAAAB9h+ao=")</f>
        <v>#REF!</v>
      </c>
      <c r="FP2" t="e">
        <f>AND(Database!#REF!,"AAAAAB9h+as=")</f>
        <v>#REF!</v>
      </c>
      <c r="FQ2" t="e">
        <f>AND(Database!#REF!,"AAAAAB9h+aw=")</f>
        <v>#REF!</v>
      </c>
      <c r="FR2" t="e">
        <f>IF(Database!#REF!,"AAAAAB9h+a0=",0)</f>
        <v>#REF!</v>
      </c>
      <c r="FS2" t="e">
        <f>AND(Database!#REF!,"AAAAAB9h+a4=")</f>
        <v>#REF!</v>
      </c>
      <c r="FT2" t="e">
        <f>AND(Database!#REF!,"AAAAAB9h+a8=")</f>
        <v>#REF!</v>
      </c>
      <c r="FU2" t="e">
        <f>AND(Database!#REF!,"AAAAAB9h+bA=")</f>
        <v>#REF!</v>
      </c>
      <c r="FV2" t="e">
        <f>AND(Database!#REF!,"AAAAAB9h+bE=")</f>
        <v>#REF!</v>
      </c>
      <c r="FW2" t="e">
        <f>AND(Database!#REF!,"AAAAAB9h+bI=")</f>
        <v>#REF!</v>
      </c>
      <c r="FX2" t="e">
        <f>AND(Database!#REF!,"AAAAAB9h+bM=")</f>
        <v>#REF!</v>
      </c>
      <c r="FY2" t="e">
        <f>AND(Database!#REF!,"AAAAAB9h+bQ=")</f>
        <v>#REF!</v>
      </c>
      <c r="FZ2" t="e">
        <f>AND(Database!#REF!,"AAAAAB9h+bU=")</f>
        <v>#REF!</v>
      </c>
      <c r="GA2" t="e">
        <f>AND(Database!#REF!,"AAAAAB9h+bY=")</f>
        <v>#REF!</v>
      </c>
      <c r="GB2" t="e">
        <f>AND(Database!#REF!,"AAAAAB9h+bc=")</f>
        <v>#REF!</v>
      </c>
      <c r="GC2" t="e">
        <f>AND(Database!#REF!,"AAAAAB9h+bg=")</f>
        <v>#REF!</v>
      </c>
      <c r="GD2" t="e">
        <f>AND(Database!#REF!,"AAAAAB9h+bk=")</f>
        <v>#REF!</v>
      </c>
      <c r="GE2" t="e">
        <f>IF(Database!#REF!,"AAAAAB9h+bo=",0)</f>
        <v>#REF!</v>
      </c>
      <c r="GF2" t="e">
        <f>AND(Database!#REF!,"AAAAAB9h+bs=")</f>
        <v>#REF!</v>
      </c>
      <c r="GG2" t="e">
        <f>AND(Database!#REF!,"AAAAAB9h+bw=")</f>
        <v>#REF!</v>
      </c>
      <c r="GH2" t="e">
        <f>AND(Database!#REF!,"AAAAAB9h+b0=")</f>
        <v>#REF!</v>
      </c>
      <c r="GI2" t="e">
        <f>AND(Database!#REF!,"AAAAAB9h+b4=")</f>
        <v>#REF!</v>
      </c>
      <c r="GJ2" t="e">
        <f>AND(Database!#REF!,"AAAAAB9h+b8=")</f>
        <v>#REF!</v>
      </c>
      <c r="GK2" t="e">
        <f>AND(Database!#REF!,"AAAAAB9h+cA=")</f>
        <v>#REF!</v>
      </c>
      <c r="GL2" t="e">
        <f>AND(Database!#REF!,"AAAAAB9h+cE=")</f>
        <v>#REF!</v>
      </c>
      <c r="GM2" t="e">
        <f>AND(Database!#REF!,"AAAAAB9h+cI=")</f>
        <v>#REF!</v>
      </c>
      <c r="GN2" t="e">
        <f>AND(Database!#REF!,"AAAAAB9h+cM=")</f>
        <v>#REF!</v>
      </c>
      <c r="GO2" t="e">
        <f>AND(Database!#REF!,"AAAAAB9h+cQ=")</f>
        <v>#REF!</v>
      </c>
      <c r="GP2" t="e">
        <f>AND(Database!#REF!,"AAAAAB9h+cU=")</f>
        <v>#REF!</v>
      </c>
      <c r="GQ2" t="e">
        <f>AND(Database!#REF!,"AAAAAB9h+cY=")</f>
        <v>#REF!</v>
      </c>
      <c r="GR2" t="e">
        <f>IF(Database!#REF!,"AAAAAB9h+cc=",0)</f>
        <v>#REF!</v>
      </c>
      <c r="GS2" t="e">
        <f>AND(Database!#REF!,"AAAAAB9h+cg=")</f>
        <v>#REF!</v>
      </c>
      <c r="GT2" t="e">
        <f>AND(Database!#REF!,"AAAAAB9h+ck=")</f>
        <v>#REF!</v>
      </c>
      <c r="GU2" t="e">
        <f>AND(Database!#REF!,"AAAAAB9h+co=")</f>
        <v>#REF!</v>
      </c>
      <c r="GV2" t="e">
        <f>AND(Database!#REF!,"AAAAAB9h+cs=")</f>
        <v>#REF!</v>
      </c>
      <c r="GW2" t="e">
        <f>AND(Database!#REF!,"AAAAAB9h+cw=")</f>
        <v>#REF!</v>
      </c>
      <c r="GX2" t="e">
        <f>AND(Database!#REF!,"AAAAAB9h+c0=")</f>
        <v>#REF!</v>
      </c>
      <c r="GY2" t="e">
        <f>AND(Database!#REF!,"AAAAAB9h+c4=")</f>
        <v>#REF!</v>
      </c>
      <c r="GZ2" t="e">
        <f>AND(Database!#REF!,"AAAAAB9h+c8=")</f>
        <v>#REF!</v>
      </c>
      <c r="HA2" t="e">
        <f>AND(Database!#REF!,"AAAAAB9h+dA=")</f>
        <v>#REF!</v>
      </c>
      <c r="HB2" t="e">
        <f>AND(Database!#REF!,"AAAAAB9h+dE=")</f>
        <v>#REF!</v>
      </c>
      <c r="HC2" t="e">
        <f>AND(Database!#REF!,"AAAAAB9h+dI=")</f>
        <v>#REF!</v>
      </c>
      <c r="HD2" t="e">
        <f>AND(Database!#REF!,"AAAAAB9h+dM=")</f>
        <v>#REF!</v>
      </c>
      <c r="HE2" t="e">
        <f>IF(Database!#REF!,"AAAAAB9h+dQ=",0)</f>
        <v>#REF!</v>
      </c>
      <c r="HF2" t="e">
        <f>AND(Database!#REF!,"AAAAAB9h+dU=")</f>
        <v>#REF!</v>
      </c>
      <c r="HG2" t="e">
        <f>AND(Database!#REF!,"AAAAAB9h+dY=")</f>
        <v>#REF!</v>
      </c>
      <c r="HH2" t="e">
        <f>AND(Database!#REF!,"AAAAAB9h+dc=")</f>
        <v>#REF!</v>
      </c>
      <c r="HI2" t="e">
        <f>AND(Database!#REF!,"AAAAAB9h+dg=")</f>
        <v>#REF!</v>
      </c>
      <c r="HJ2" t="e">
        <f>AND(Database!#REF!,"AAAAAB9h+dk=")</f>
        <v>#REF!</v>
      </c>
      <c r="HK2" t="e">
        <f>AND(Database!#REF!,"AAAAAB9h+do=")</f>
        <v>#REF!</v>
      </c>
      <c r="HL2" t="e">
        <f>AND(Database!#REF!,"AAAAAB9h+ds=")</f>
        <v>#REF!</v>
      </c>
      <c r="HM2" t="e">
        <f>AND(Database!#REF!,"AAAAAB9h+dw=")</f>
        <v>#REF!</v>
      </c>
      <c r="HN2" t="e">
        <f>AND(Database!#REF!,"AAAAAB9h+d0=")</f>
        <v>#REF!</v>
      </c>
      <c r="HO2" t="e">
        <f>AND(Database!#REF!,"AAAAAB9h+d4=")</f>
        <v>#REF!</v>
      </c>
      <c r="HP2" t="e">
        <f>AND(Database!#REF!,"AAAAAB9h+d8=")</f>
        <v>#REF!</v>
      </c>
      <c r="HQ2" t="e">
        <f>AND(Database!#REF!,"AAAAAB9h+eA=")</f>
        <v>#REF!</v>
      </c>
      <c r="HR2" t="e">
        <f>IF(Database!#REF!,"AAAAAB9h+eE=",0)</f>
        <v>#REF!</v>
      </c>
      <c r="HS2" t="e">
        <f>AND(Database!#REF!,"AAAAAB9h+eI=")</f>
        <v>#REF!</v>
      </c>
      <c r="HT2" t="e">
        <f>AND(Database!#REF!,"AAAAAB9h+eM=")</f>
        <v>#REF!</v>
      </c>
      <c r="HU2" t="e">
        <f>AND(Database!#REF!,"AAAAAB9h+eQ=")</f>
        <v>#REF!</v>
      </c>
      <c r="HV2" t="e">
        <f>AND(Database!#REF!,"AAAAAB9h+eU=")</f>
        <v>#REF!</v>
      </c>
      <c r="HW2" t="e">
        <f>AND(Database!#REF!,"AAAAAB9h+eY=")</f>
        <v>#REF!</v>
      </c>
      <c r="HX2" t="e">
        <f>AND(Database!#REF!,"AAAAAB9h+ec=")</f>
        <v>#REF!</v>
      </c>
      <c r="HY2" t="e">
        <f>AND(Database!#REF!,"AAAAAB9h+eg=")</f>
        <v>#REF!</v>
      </c>
      <c r="HZ2" t="e">
        <f>AND(Database!#REF!,"AAAAAB9h+ek=")</f>
        <v>#REF!</v>
      </c>
      <c r="IA2" t="e">
        <f>AND(Database!#REF!,"AAAAAB9h+eo=")</f>
        <v>#REF!</v>
      </c>
      <c r="IB2" t="e">
        <f>AND(Database!#REF!,"AAAAAB9h+es=")</f>
        <v>#REF!</v>
      </c>
      <c r="IC2" t="e">
        <f>AND(Database!#REF!,"AAAAAB9h+ew=")</f>
        <v>#REF!</v>
      </c>
      <c r="ID2" t="e">
        <f>AND(Database!#REF!,"AAAAAB9h+e0=")</f>
        <v>#REF!</v>
      </c>
      <c r="IE2" t="e">
        <f>IF(Database!#REF!,"AAAAAB9h+e4=",0)</f>
        <v>#REF!</v>
      </c>
      <c r="IF2" t="e">
        <f>AND(Database!#REF!,"AAAAAB9h+e8=")</f>
        <v>#REF!</v>
      </c>
      <c r="IG2" t="e">
        <f>AND(Database!#REF!,"AAAAAB9h+fA=")</f>
        <v>#REF!</v>
      </c>
      <c r="IH2" t="e">
        <f>AND(Database!#REF!,"AAAAAB9h+fE=")</f>
        <v>#REF!</v>
      </c>
      <c r="II2" t="e">
        <f>AND(Database!#REF!,"AAAAAB9h+fI=")</f>
        <v>#REF!</v>
      </c>
      <c r="IJ2" t="e">
        <f>AND(Database!#REF!,"AAAAAB9h+fM=")</f>
        <v>#REF!</v>
      </c>
      <c r="IK2" t="e">
        <f>AND(Database!#REF!,"AAAAAB9h+fQ=")</f>
        <v>#REF!</v>
      </c>
      <c r="IL2" t="e">
        <f>AND(Database!#REF!,"AAAAAB9h+fU=")</f>
        <v>#REF!</v>
      </c>
      <c r="IM2" t="e">
        <f>AND(Database!#REF!,"AAAAAB9h+fY=")</f>
        <v>#REF!</v>
      </c>
      <c r="IN2" t="e">
        <f>AND(Database!#REF!,"AAAAAB9h+fc=")</f>
        <v>#REF!</v>
      </c>
      <c r="IO2" t="e">
        <f>AND(Database!#REF!,"AAAAAB9h+fg=")</f>
        <v>#REF!</v>
      </c>
      <c r="IP2" t="e">
        <f>AND(Database!#REF!,"AAAAAB9h+fk=")</f>
        <v>#REF!</v>
      </c>
      <c r="IQ2" t="e">
        <f>AND(Database!#REF!,"AAAAAB9h+fo=")</f>
        <v>#REF!</v>
      </c>
      <c r="IR2" t="e">
        <f>IF(Database!#REF!,"AAAAAB9h+fs=",0)</f>
        <v>#REF!</v>
      </c>
      <c r="IS2" t="e">
        <f>AND(Database!#REF!,"AAAAAB9h+fw=")</f>
        <v>#REF!</v>
      </c>
      <c r="IT2" t="e">
        <f>AND(Database!#REF!,"AAAAAB9h+f0=")</f>
        <v>#REF!</v>
      </c>
      <c r="IU2" t="e">
        <f>AND(Database!#REF!,"AAAAAB9h+f4=")</f>
        <v>#REF!</v>
      </c>
      <c r="IV2" t="e">
        <f>AND(Database!#REF!,"AAAAAB9h+f8=")</f>
        <v>#REF!</v>
      </c>
    </row>
    <row r="3" spans="1:256" x14ac:dyDescent="0.3">
      <c r="A3" t="e">
        <f>AND(Database!#REF!,"AAAAAFtl+QA=")</f>
        <v>#REF!</v>
      </c>
      <c r="B3" t="e">
        <f>AND(Database!#REF!,"AAAAAFtl+QE=")</f>
        <v>#REF!</v>
      </c>
      <c r="C3" t="e">
        <f>AND(Database!#REF!,"AAAAAFtl+QI=")</f>
        <v>#REF!</v>
      </c>
      <c r="D3" t="e">
        <f>AND(Database!#REF!,"AAAAAFtl+QM=")</f>
        <v>#REF!</v>
      </c>
      <c r="E3" t="e">
        <f>AND(Database!#REF!,"AAAAAFtl+QQ=")</f>
        <v>#REF!</v>
      </c>
      <c r="F3" t="e">
        <f>AND(Database!#REF!,"AAAAAFtl+QU=")</f>
        <v>#REF!</v>
      </c>
      <c r="G3" t="e">
        <f>AND(Database!#REF!,"AAAAAFtl+QY=")</f>
        <v>#REF!</v>
      </c>
      <c r="H3" t="e">
        <f>AND(Database!#REF!,"AAAAAFtl+Qc=")</f>
        <v>#REF!</v>
      </c>
      <c r="I3" t="e">
        <f>IF(Database!#REF!,"AAAAAFtl+Qg=",0)</f>
        <v>#REF!</v>
      </c>
      <c r="J3" t="e">
        <f>AND(Database!#REF!,"AAAAAFtl+Qk=")</f>
        <v>#REF!</v>
      </c>
      <c r="K3" t="e">
        <f>AND(Database!#REF!,"AAAAAFtl+Qo=")</f>
        <v>#REF!</v>
      </c>
      <c r="L3" t="e">
        <f>AND(Database!#REF!,"AAAAAFtl+Qs=")</f>
        <v>#REF!</v>
      </c>
      <c r="M3" t="e">
        <f>AND(Database!#REF!,"AAAAAFtl+Qw=")</f>
        <v>#REF!</v>
      </c>
      <c r="N3" t="e">
        <f>AND(Database!#REF!,"AAAAAFtl+Q0=")</f>
        <v>#REF!</v>
      </c>
      <c r="O3" t="e">
        <f>AND(Database!#REF!,"AAAAAFtl+Q4=")</f>
        <v>#REF!</v>
      </c>
      <c r="P3" t="e">
        <f>AND(Database!#REF!,"AAAAAFtl+Q8=")</f>
        <v>#REF!</v>
      </c>
      <c r="Q3" t="e">
        <f>AND(Database!#REF!,"AAAAAFtl+RA=")</f>
        <v>#REF!</v>
      </c>
      <c r="R3" t="e">
        <f>AND(Database!#REF!,"AAAAAFtl+RE=")</f>
        <v>#REF!</v>
      </c>
      <c r="S3" t="e">
        <f>AND(Database!#REF!,"AAAAAFtl+RI=")</f>
        <v>#REF!</v>
      </c>
      <c r="T3" t="e">
        <f>AND(Database!#REF!,"AAAAAFtl+RM=")</f>
        <v>#REF!</v>
      </c>
      <c r="U3" t="e">
        <f>AND(Database!#REF!,"AAAAAFtl+RQ=")</f>
        <v>#REF!</v>
      </c>
      <c r="V3" t="e">
        <f>IF(Database!#REF!,"AAAAAFtl+RU=",0)</f>
        <v>#REF!</v>
      </c>
      <c r="W3" t="e">
        <f>AND(Database!#REF!,"AAAAAFtl+RY=")</f>
        <v>#REF!</v>
      </c>
      <c r="X3" t="e">
        <f>AND(Database!#REF!,"AAAAAFtl+Rc=")</f>
        <v>#REF!</v>
      </c>
      <c r="Y3" t="e">
        <f>AND(Database!#REF!,"AAAAAFtl+Rg=")</f>
        <v>#REF!</v>
      </c>
      <c r="Z3" t="e">
        <f>AND(Database!#REF!,"AAAAAFtl+Rk=")</f>
        <v>#REF!</v>
      </c>
      <c r="AA3" t="e">
        <f>AND(Database!#REF!,"AAAAAFtl+Ro=")</f>
        <v>#REF!</v>
      </c>
      <c r="AB3" t="e">
        <f>AND(Database!#REF!,"AAAAAFtl+Rs=")</f>
        <v>#REF!</v>
      </c>
      <c r="AC3" t="e">
        <f>AND(Database!#REF!,"AAAAAFtl+Rw=")</f>
        <v>#REF!</v>
      </c>
      <c r="AD3" t="e">
        <f>AND(Database!#REF!,"AAAAAFtl+R0=")</f>
        <v>#REF!</v>
      </c>
      <c r="AE3" t="e">
        <f>AND(Database!#REF!,"AAAAAFtl+R4=")</f>
        <v>#REF!</v>
      </c>
      <c r="AF3" t="e">
        <f>AND(Database!#REF!,"AAAAAFtl+R8=")</f>
        <v>#REF!</v>
      </c>
      <c r="AG3" t="e">
        <f>AND(Database!#REF!,"AAAAAFtl+SA=")</f>
        <v>#REF!</v>
      </c>
      <c r="AH3" t="e">
        <f>AND(Database!#REF!,"AAAAAFtl+SE=")</f>
        <v>#REF!</v>
      </c>
      <c r="AI3" t="e">
        <f>IF(Database!#REF!,"AAAAAFtl+SI=",0)</f>
        <v>#REF!</v>
      </c>
      <c r="AJ3" t="e">
        <f>AND(Database!#REF!,"AAAAAFtl+SM=")</f>
        <v>#REF!</v>
      </c>
      <c r="AK3" t="e">
        <f>AND(Database!#REF!,"AAAAAFtl+SQ=")</f>
        <v>#REF!</v>
      </c>
      <c r="AL3" t="e">
        <f>AND(Database!#REF!,"AAAAAFtl+SU=")</f>
        <v>#REF!</v>
      </c>
      <c r="AM3" t="e">
        <f>AND(Database!#REF!,"AAAAAFtl+SY=")</f>
        <v>#REF!</v>
      </c>
      <c r="AN3" t="e">
        <f>AND(Database!#REF!,"AAAAAFtl+Sc=")</f>
        <v>#REF!</v>
      </c>
      <c r="AO3" t="e">
        <f>AND(Database!#REF!,"AAAAAFtl+Sg=")</f>
        <v>#REF!</v>
      </c>
      <c r="AP3" t="e">
        <f>AND(Database!#REF!,"AAAAAFtl+Sk=")</f>
        <v>#REF!</v>
      </c>
      <c r="AQ3" t="e">
        <f>AND(Database!#REF!,"AAAAAFtl+So=")</f>
        <v>#REF!</v>
      </c>
      <c r="AR3" t="e">
        <f>AND(Database!#REF!,"AAAAAFtl+Ss=")</f>
        <v>#REF!</v>
      </c>
      <c r="AS3" t="e">
        <f>AND(Database!#REF!,"AAAAAFtl+Sw=")</f>
        <v>#REF!</v>
      </c>
      <c r="AT3" t="e">
        <f>AND(Database!#REF!,"AAAAAFtl+S0=")</f>
        <v>#REF!</v>
      </c>
      <c r="AU3" t="e">
        <f>AND(Database!#REF!,"AAAAAFtl+S4=")</f>
        <v>#REF!</v>
      </c>
      <c r="AV3" t="e">
        <f>IF(Database!#REF!,"AAAAAFtl+S8=",0)</f>
        <v>#REF!</v>
      </c>
      <c r="AW3" t="e">
        <f>AND(Database!#REF!,"AAAAAFtl+TA=")</f>
        <v>#REF!</v>
      </c>
      <c r="AX3" t="e">
        <f>AND(Database!#REF!,"AAAAAFtl+TE=")</f>
        <v>#REF!</v>
      </c>
      <c r="AY3" t="e">
        <f>AND(Database!#REF!,"AAAAAFtl+TI=")</f>
        <v>#REF!</v>
      </c>
      <c r="AZ3" t="e">
        <f>AND(Database!#REF!,"AAAAAFtl+TM=")</f>
        <v>#REF!</v>
      </c>
      <c r="BA3" t="e">
        <f>AND(Database!#REF!,"AAAAAFtl+TQ=")</f>
        <v>#REF!</v>
      </c>
      <c r="BB3" t="e">
        <f>AND(Database!#REF!,"AAAAAFtl+TU=")</f>
        <v>#REF!</v>
      </c>
      <c r="BC3" t="e">
        <f>AND(Database!#REF!,"AAAAAFtl+TY=")</f>
        <v>#REF!</v>
      </c>
      <c r="BD3" t="e">
        <f>AND(Database!#REF!,"AAAAAFtl+Tc=")</f>
        <v>#REF!</v>
      </c>
      <c r="BE3" t="e">
        <f>AND(Database!#REF!,"AAAAAFtl+Tg=")</f>
        <v>#REF!</v>
      </c>
      <c r="BF3" t="e">
        <f>AND(Database!#REF!,"AAAAAFtl+Tk=")</f>
        <v>#REF!</v>
      </c>
      <c r="BG3" t="e">
        <f>AND(Database!#REF!,"AAAAAFtl+To=")</f>
        <v>#REF!</v>
      </c>
      <c r="BH3" t="e">
        <f>AND(Database!#REF!,"AAAAAFtl+Ts=")</f>
        <v>#REF!</v>
      </c>
      <c r="BI3" t="e">
        <f>IF(Database!#REF!,"AAAAAFtl+Tw=",0)</f>
        <v>#REF!</v>
      </c>
      <c r="BJ3" t="e">
        <f>AND(Database!#REF!,"AAAAAFtl+T0=")</f>
        <v>#REF!</v>
      </c>
      <c r="BK3" t="e">
        <f>AND(Database!#REF!,"AAAAAFtl+T4=")</f>
        <v>#REF!</v>
      </c>
      <c r="BL3" t="e">
        <f>AND(Database!#REF!,"AAAAAFtl+T8=")</f>
        <v>#REF!</v>
      </c>
      <c r="BM3" t="e">
        <f>AND(Database!#REF!,"AAAAAFtl+UA=")</f>
        <v>#REF!</v>
      </c>
      <c r="BN3" t="e">
        <f>AND(Database!#REF!,"AAAAAFtl+UE=")</f>
        <v>#REF!</v>
      </c>
      <c r="BO3" t="e">
        <f>AND(Database!#REF!,"AAAAAFtl+UI=")</f>
        <v>#REF!</v>
      </c>
      <c r="BP3" t="e">
        <f>AND(Database!#REF!,"AAAAAFtl+UM=")</f>
        <v>#REF!</v>
      </c>
      <c r="BQ3" t="e">
        <f>AND(Database!#REF!,"AAAAAFtl+UQ=")</f>
        <v>#REF!</v>
      </c>
      <c r="BR3" t="e">
        <f>AND(Database!#REF!,"AAAAAFtl+UU=")</f>
        <v>#REF!</v>
      </c>
      <c r="BS3" t="e">
        <f>AND(Database!#REF!,"AAAAAFtl+UY=")</f>
        <v>#REF!</v>
      </c>
      <c r="BT3" t="e">
        <f>AND(Database!#REF!,"AAAAAFtl+Uc=")</f>
        <v>#REF!</v>
      </c>
      <c r="BU3" t="e">
        <f>AND(Database!#REF!,"AAAAAFtl+Ug=")</f>
        <v>#REF!</v>
      </c>
      <c r="BV3" t="e">
        <f>IF(Database!#REF!,"AAAAAFtl+Uk=",0)</f>
        <v>#REF!</v>
      </c>
      <c r="BW3" t="e">
        <f>AND(Database!#REF!,"AAAAAFtl+Uo=")</f>
        <v>#REF!</v>
      </c>
      <c r="BX3" t="e">
        <f>AND(Database!#REF!,"AAAAAFtl+Us=")</f>
        <v>#REF!</v>
      </c>
      <c r="BY3" t="e">
        <f>AND(Database!#REF!,"AAAAAFtl+Uw=")</f>
        <v>#REF!</v>
      </c>
      <c r="BZ3" t="e">
        <f>AND(Database!#REF!,"AAAAAFtl+U0=")</f>
        <v>#REF!</v>
      </c>
      <c r="CA3" t="e">
        <f>AND(Database!#REF!,"AAAAAFtl+U4=")</f>
        <v>#REF!</v>
      </c>
      <c r="CB3" t="e">
        <f>AND(Database!#REF!,"AAAAAFtl+U8=")</f>
        <v>#REF!</v>
      </c>
      <c r="CC3" t="e">
        <f>AND(Database!#REF!,"AAAAAFtl+VA=")</f>
        <v>#REF!</v>
      </c>
      <c r="CD3" t="e">
        <f>AND(Database!#REF!,"AAAAAFtl+VE=")</f>
        <v>#REF!</v>
      </c>
      <c r="CE3" t="e">
        <f>AND(Database!#REF!,"AAAAAFtl+VI=")</f>
        <v>#REF!</v>
      </c>
      <c r="CF3" t="e">
        <f>AND(Database!#REF!,"AAAAAFtl+VM=")</f>
        <v>#REF!</v>
      </c>
      <c r="CG3" t="e">
        <f>AND(Database!#REF!,"AAAAAFtl+VQ=")</f>
        <v>#REF!</v>
      </c>
      <c r="CH3" t="e">
        <f>AND(Database!#REF!,"AAAAAFtl+VU=")</f>
        <v>#REF!</v>
      </c>
      <c r="CI3" t="e">
        <f>IF(Database!#REF!,"AAAAAFtl+VY=",0)</f>
        <v>#REF!</v>
      </c>
      <c r="CJ3" t="e">
        <f>AND(Database!#REF!,"AAAAAFtl+Vc=")</f>
        <v>#REF!</v>
      </c>
      <c r="CK3" t="e">
        <f>AND(Database!#REF!,"AAAAAFtl+Vg=")</f>
        <v>#REF!</v>
      </c>
      <c r="CL3" t="e">
        <f>AND(Database!#REF!,"AAAAAFtl+Vk=")</f>
        <v>#REF!</v>
      </c>
      <c r="CM3" t="e">
        <f>AND(Database!#REF!,"AAAAAFtl+Vo=")</f>
        <v>#REF!</v>
      </c>
      <c r="CN3" t="e">
        <f>AND(Database!#REF!,"AAAAAFtl+Vs=")</f>
        <v>#REF!</v>
      </c>
      <c r="CO3" t="e">
        <f>AND(Database!#REF!,"AAAAAFtl+Vw=")</f>
        <v>#REF!</v>
      </c>
      <c r="CP3" t="e">
        <f>AND(Database!#REF!,"AAAAAFtl+V0=")</f>
        <v>#REF!</v>
      </c>
      <c r="CQ3" t="e">
        <f>AND(Database!#REF!,"AAAAAFtl+V4=")</f>
        <v>#REF!</v>
      </c>
      <c r="CR3" t="e">
        <f>AND(Database!#REF!,"AAAAAFtl+V8=")</f>
        <v>#REF!</v>
      </c>
      <c r="CS3" t="e">
        <f>AND(Database!#REF!,"AAAAAFtl+WA=")</f>
        <v>#REF!</v>
      </c>
      <c r="CT3" t="e">
        <f>AND(Database!#REF!,"AAAAAFtl+WE=")</f>
        <v>#REF!</v>
      </c>
      <c r="CU3" t="e">
        <f>AND(Database!#REF!,"AAAAAFtl+WI=")</f>
        <v>#REF!</v>
      </c>
      <c r="CV3" t="e">
        <f>IF(Database!#REF!,"AAAAAFtl+WM=",0)</f>
        <v>#REF!</v>
      </c>
      <c r="CW3" t="e">
        <f>AND(Database!#REF!,"AAAAAFtl+WQ=")</f>
        <v>#REF!</v>
      </c>
      <c r="CX3" t="e">
        <f>AND(Database!#REF!,"AAAAAFtl+WU=")</f>
        <v>#REF!</v>
      </c>
      <c r="CY3" t="e">
        <f>AND(Database!#REF!,"AAAAAFtl+WY=")</f>
        <v>#REF!</v>
      </c>
      <c r="CZ3" t="e">
        <f>AND(Database!#REF!,"AAAAAFtl+Wc=")</f>
        <v>#REF!</v>
      </c>
      <c r="DA3" t="e">
        <f>AND(Database!#REF!,"AAAAAFtl+Wg=")</f>
        <v>#REF!</v>
      </c>
      <c r="DB3" t="e">
        <f>AND(Database!#REF!,"AAAAAFtl+Wk=")</f>
        <v>#REF!</v>
      </c>
      <c r="DC3" t="e">
        <f>AND(Database!#REF!,"AAAAAFtl+Wo=")</f>
        <v>#REF!</v>
      </c>
      <c r="DD3" t="e">
        <f>AND(Database!#REF!,"AAAAAFtl+Ws=")</f>
        <v>#REF!</v>
      </c>
      <c r="DE3" t="e">
        <f>AND(Database!#REF!,"AAAAAFtl+Ww=")</f>
        <v>#REF!</v>
      </c>
      <c r="DF3" t="e">
        <f>AND(Database!#REF!,"AAAAAFtl+W0=")</f>
        <v>#REF!</v>
      </c>
      <c r="DG3" t="e">
        <f>AND(Database!#REF!,"AAAAAFtl+W4=")</f>
        <v>#REF!</v>
      </c>
      <c r="DH3" t="e">
        <f>AND(Database!#REF!,"AAAAAFtl+W8=")</f>
        <v>#REF!</v>
      </c>
      <c r="DI3" t="e">
        <f>IF(Database!#REF!,"AAAAAFtl+XA=",0)</f>
        <v>#REF!</v>
      </c>
      <c r="DJ3" t="e">
        <f>AND(Database!#REF!,"AAAAAFtl+XE=")</f>
        <v>#REF!</v>
      </c>
      <c r="DK3" t="e">
        <f>AND(Database!#REF!,"AAAAAFtl+XI=")</f>
        <v>#REF!</v>
      </c>
      <c r="DL3" t="e">
        <f>AND(Database!#REF!,"AAAAAFtl+XM=")</f>
        <v>#REF!</v>
      </c>
      <c r="DM3" t="e">
        <f>AND(Database!#REF!,"AAAAAFtl+XQ=")</f>
        <v>#REF!</v>
      </c>
      <c r="DN3" t="e">
        <f>AND(Database!#REF!,"AAAAAFtl+XU=")</f>
        <v>#REF!</v>
      </c>
      <c r="DO3" t="e">
        <f>AND(Database!#REF!,"AAAAAFtl+XY=")</f>
        <v>#REF!</v>
      </c>
      <c r="DP3" t="e">
        <f>AND(Database!#REF!,"AAAAAFtl+Xc=")</f>
        <v>#REF!</v>
      </c>
      <c r="DQ3" t="e">
        <f>AND(Database!#REF!,"AAAAAFtl+Xg=")</f>
        <v>#REF!</v>
      </c>
      <c r="DR3" t="e">
        <f>AND(Database!#REF!,"AAAAAFtl+Xk=")</f>
        <v>#REF!</v>
      </c>
      <c r="DS3" t="e">
        <f>AND(Database!#REF!,"AAAAAFtl+Xo=")</f>
        <v>#REF!</v>
      </c>
      <c r="DT3" t="e">
        <f>AND(Database!#REF!,"AAAAAFtl+Xs=")</f>
        <v>#REF!</v>
      </c>
      <c r="DU3" t="e">
        <f>AND(Database!#REF!,"AAAAAFtl+Xw=")</f>
        <v>#REF!</v>
      </c>
      <c r="DV3" t="e">
        <f>IF(Database!#REF!,"AAAAAFtl+X0=",0)</f>
        <v>#REF!</v>
      </c>
      <c r="DW3" t="e">
        <f>AND(Database!#REF!,"AAAAAFtl+X4=")</f>
        <v>#REF!</v>
      </c>
      <c r="DX3" t="e">
        <f>AND(Database!#REF!,"AAAAAFtl+X8=")</f>
        <v>#REF!</v>
      </c>
      <c r="DY3" t="e">
        <f>AND(Database!#REF!,"AAAAAFtl+YA=")</f>
        <v>#REF!</v>
      </c>
      <c r="DZ3" t="e">
        <f>AND(Database!#REF!,"AAAAAFtl+YE=")</f>
        <v>#REF!</v>
      </c>
      <c r="EA3" t="e">
        <f>AND(Database!#REF!,"AAAAAFtl+YI=")</f>
        <v>#REF!</v>
      </c>
      <c r="EB3" t="e">
        <f>AND(Database!#REF!,"AAAAAFtl+YM=")</f>
        <v>#REF!</v>
      </c>
      <c r="EC3" t="e">
        <f>AND(Database!#REF!,"AAAAAFtl+YQ=")</f>
        <v>#REF!</v>
      </c>
      <c r="ED3" t="e">
        <f>AND(Database!#REF!,"AAAAAFtl+YU=")</f>
        <v>#REF!</v>
      </c>
      <c r="EE3" t="e">
        <f>AND(Database!#REF!,"AAAAAFtl+YY=")</f>
        <v>#REF!</v>
      </c>
      <c r="EF3" t="e">
        <f>AND(Database!#REF!,"AAAAAFtl+Yc=")</f>
        <v>#REF!</v>
      </c>
      <c r="EG3" t="e">
        <f>AND(Database!#REF!,"AAAAAFtl+Yg=")</f>
        <v>#REF!</v>
      </c>
      <c r="EH3" t="e">
        <f>AND(Database!#REF!,"AAAAAFtl+Yk=")</f>
        <v>#REF!</v>
      </c>
      <c r="EI3" t="e">
        <f>IF(Database!#REF!,"AAAAAFtl+Yo=",0)</f>
        <v>#REF!</v>
      </c>
      <c r="EJ3" t="e">
        <f>AND(Database!#REF!,"AAAAAFtl+Ys=")</f>
        <v>#REF!</v>
      </c>
      <c r="EK3" t="e">
        <f>AND(Database!#REF!,"AAAAAFtl+Yw=")</f>
        <v>#REF!</v>
      </c>
      <c r="EL3" t="e">
        <f>AND(Database!#REF!,"AAAAAFtl+Y0=")</f>
        <v>#REF!</v>
      </c>
      <c r="EM3" t="e">
        <f>AND(Database!#REF!,"AAAAAFtl+Y4=")</f>
        <v>#REF!</v>
      </c>
      <c r="EN3" t="e">
        <f>AND(Database!#REF!,"AAAAAFtl+Y8=")</f>
        <v>#REF!</v>
      </c>
      <c r="EO3" t="e">
        <f>AND(Database!#REF!,"AAAAAFtl+ZA=")</f>
        <v>#REF!</v>
      </c>
      <c r="EP3" t="e">
        <f>AND(Database!#REF!,"AAAAAFtl+ZE=")</f>
        <v>#REF!</v>
      </c>
      <c r="EQ3" t="e">
        <f>AND(Database!#REF!,"AAAAAFtl+ZI=")</f>
        <v>#REF!</v>
      </c>
      <c r="ER3" t="e">
        <f>AND(Database!#REF!,"AAAAAFtl+ZM=")</f>
        <v>#REF!</v>
      </c>
      <c r="ES3" t="e">
        <f>AND(Database!#REF!,"AAAAAFtl+ZQ=")</f>
        <v>#REF!</v>
      </c>
      <c r="ET3" t="e">
        <f>AND(Database!#REF!,"AAAAAFtl+ZU=")</f>
        <v>#REF!</v>
      </c>
      <c r="EU3" t="e">
        <f>AND(Database!#REF!,"AAAAAFtl+ZY=")</f>
        <v>#REF!</v>
      </c>
      <c r="EV3" t="e">
        <f>IF(Database!#REF!,"AAAAAFtl+Zc=",0)</f>
        <v>#REF!</v>
      </c>
      <c r="EW3" t="e">
        <f>AND(Database!#REF!,"AAAAAFtl+Zg=")</f>
        <v>#REF!</v>
      </c>
      <c r="EX3" t="e">
        <f>AND(Database!#REF!,"AAAAAFtl+Zk=")</f>
        <v>#REF!</v>
      </c>
      <c r="EY3" t="e">
        <f>AND(Database!#REF!,"AAAAAFtl+Zo=")</f>
        <v>#REF!</v>
      </c>
      <c r="EZ3" t="e">
        <f>AND(Database!#REF!,"AAAAAFtl+Zs=")</f>
        <v>#REF!</v>
      </c>
      <c r="FA3" t="e">
        <f>AND(Database!#REF!,"AAAAAFtl+Zw=")</f>
        <v>#REF!</v>
      </c>
      <c r="FB3" t="e">
        <f>AND(Database!#REF!,"AAAAAFtl+Z0=")</f>
        <v>#REF!</v>
      </c>
      <c r="FC3" t="e">
        <f>AND(Database!#REF!,"AAAAAFtl+Z4=")</f>
        <v>#REF!</v>
      </c>
      <c r="FD3" t="e">
        <f>AND(Database!#REF!,"AAAAAFtl+Z8=")</f>
        <v>#REF!</v>
      </c>
      <c r="FE3" t="e">
        <f>AND(Database!#REF!,"AAAAAFtl+aA=")</f>
        <v>#REF!</v>
      </c>
      <c r="FF3" t="e">
        <f>AND(Database!#REF!,"AAAAAFtl+aE=")</f>
        <v>#REF!</v>
      </c>
      <c r="FG3" t="e">
        <f>AND(Database!#REF!,"AAAAAFtl+aI=")</f>
        <v>#REF!</v>
      </c>
      <c r="FH3" t="e">
        <f>AND(Database!#REF!,"AAAAAFtl+aM=")</f>
        <v>#REF!</v>
      </c>
      <c r="FI3" t="e">
        <f>IF(Database!#REF!,"AAAAAFtl+aQ=",0)</f>
        <v>#REF!</v>
      </c>
      <c r="FJ3" t="e">
        <f>AND(Database!#REF!,"AAAAAFtl+aU=")</f>
        <v>#REF!</v>
      </c>
      <c r="FK3" t="e">
        <f>AND(Database!#REF!,"AAAAAFtl+aY=")</f>
        <v>#REF!</v>
      </c>
      <c r="FL3" t="e">
        <f>AND(Database!#REF!,"AAAAAFtl+ac=")</f>
        <v>#REF!</v>
      </c>
      <c r="FM3" t="e">
        <f>AND(Database!#REF!,"AAAAAFtl+ag=")</f>
        <v>#REF!</v>
      </c>
      <c r="FN3" t="e">
        <f>AND(Database!#REF!,"AAAAAFtl+ak=")</f>
        <v>#REF!</v>
      </c>
      <c r="FO3" t="e">
        <f>AND(Database!#REF!,"AAAAAFtl+ao=")</f>
        <v>#REF!</v>
      </c>
      <c r="FP3" t="e">
        <f>AND(Database!#REF!,"AAAAAFtl+as=")</f>
        <v>#REF!</v>
      </c>
      <c r="FQ3" t="e">
        <f>AND(Database!#REF!,"AAAAAFtl+aw=")</f>
        <v>#REF!</v>
      </c>
      <c r="FR3" t="e">
        <f>AND(Database!#REF!,"AAAAAFtl+a0=")</f>
        <v>#REF!</v>
      </c>
      <c r="FS3" t="e">
        <f>AND(Database!#REF!,"AAAAAFtl+a4=")</f>
        <v>#REF!</v>
      </c>
      <c r="FT3" t="e">
        <f>AND(Database!#REF!,"AAAAAFtl+a8=")</f>
        <v>#REF!</v>
      </c>
      <c r="FU3" t="e">
        <f>AND(Database!#REF!,"AAAAAFtl+bA=")</f>
        <v>#REF!</v>
      </c>
      <c r="FV3" t="e">
        <f>IF(Database!#REF!,"AAAAAFtl+bE=",0)</f>
        <v>#REF!</v>
      </c>
      <c r="FW3" t="e">
        <f>AND(Database!#REF!,"AAAAAFtl+bI=")</f>
        <v>#REF!</v>
      </c>
      <c r="FX3" t="e">
        <f>AND(Database!#REF!,"AAAAAFtl+bM=")</f>
        <v>#REF!</v>
      </c>
      <c r="FY3" t="e">
        <f>AND(Database!#REF!,"AAAAAFtl+bQ=")</f>
        <v>#REF!</v>
      </c>
      <c r="FZ3" t="e">
        <f>AND(Database!#REF!,"AAAAAFtl+bU=")</f>
        <v>#REF!</v>
      </c>
      <c r="GA3" t="e">
        <f>AND(Database!#REF!,"AAAAAFtl+bY=")</f>
        <v>#REF!</v>
      </c>
      <c r="GB3" t="e">
        <f>AND(Database!#REF!,"AAAAAFtl+bc=")</f>
        <v>#REF!</v>
      </c>
      <c r="GC3" t="e">
        <f>AND(Database!#REF!,"AAAAAFtl+bg=")</f>
        <v>#REF!</v>
      </c>
      <c r="GD3" t="e">
        <f>AND(Database!#REF!,"AAAAAFtl+bk=")</f>
        <v>#REF!</v>
      </c>
      <c r="GE3" t="e">
        <f>AND(Database!#REF!,"AAAAAFtl+bo=")</f>
        <v>#REF!</v>
      </c>
      <c r="GF3" t="e">
        <f>AND(Database!#REF!,"AAAAAFtl+bs=")</f>
        <v>#REF!</v>
      </c>
      <c r="GG3" t="e">
        <f>AND(Database!#REF!,"AAAAAFtl+bw=")</f>
        <v>#REF!</v>
      </c>
      <c r="GH3" t="e">
        <f>AND(Database!#REF!,"AAAAAFtl+b0=")</f>
        <v>#REF!</v>
      </c>
      <c r="GI3" t="e">
        <f>IF(Database!#REF!,"AAAAAFtl+b4=",0)</f>
        <v>#REF!</v>
      </c>
      <c r="GJ3" t="e">
        <f>AND(Database!#REF!,"AAAAAFtl+b8=")</f>
        <v>#REF!</v>
      </c>
      <c r="GK3" t="e">
        <f>AND(Database!#REF!,"AAAAAFtl+cA=")</f>
        <v>#REF!</v>
      </c>
      <c r="GL3" t="e">
        <f>AND(Database!#REF!,"AAAAAFtl+cE=")</f>
        <v>#REF!</v>
      </c>
      <c r="GM3" t="e">
        <f>AND(Database!#REF!,"AAAAAFtl+cI=")</f>
        <v>#REF!</v>
      </c>
      <c r="GN3" t="e">
        <f>AND(Database!#REF!,"AAAAAFtl+cM=")</f>
        <v>#REF!</v>
      </c>
      <c r="GO3" t="e">
        <f>AND(Database!#REF!,"AAAAAFtl+cQ=")</f>
        <v>#REF!</v>
      </c>
      <c r="GP3" t="e">
        <f>AND(Database!#REF!,"AAAAAFtl+cU=")</f>
        <v>#REF!</v>
      </c>
      <c r="GQ3" t="e">
        <f>AND(Database!#REF!,"AAAAAFtl+cY=")</f>
        <v>#REF!</v>
      </c>
      <c r="GR3" t="e">
        <f>AND(Database!#REF!,"AAAAAFtl+cc=")</f>
        <v>#REF!</v>
      </c>
      <c r="GS3" t="e">
        <f>AND(Database!#REF!,"AAAAAFtl+cg=")</f>
        <v>#REF!</v>
      </c>
      <c r="GT3" t="e">
        <f>AND(Database!#REF!,"AAAAAFtl+ck=")</f>
        <v>#REF!</v>
      </c>
      <c r="GU3" t="e">
        <f>AND(Database!#REF!,"AAAAAFtl+co=")</f>
        <v>#REF!</v>
      </c>
      <c r="GV3" t="e">
        <f>IF(Database!#REF!,"AAAAAFtl+cs=",0)</f>
        <v>#REF!</v>
      </c>
      <c r="GW3" t="e">
        <f>AND(Database!#REF!,"AAAAAFtl+cw=")</f>
        <v>#REF!</v>
      </c>
      <c r="GX3" t="e">
        <f>AND(Database!#REF!,"AAAAAFtl+c0=")</f>
        <v>#REF!</v>
      </c>
      <c r="GY3" t="e">
        <f>AND(Database!#REF!,"AAAAAFtl+c4=")</f>
        <v>#REF!</v>
      </c>
      <c r="GZ3" t="e">
        <f>AND(Database!#REF!,"AAAAAFtl+c8=")</f>
        <v>#REF!</v>
      </c>
      <c r="HA3" t="e">
        <f>AND(Database!#REF!,"AAAAAFtl+dA=")</f>
        <v>#REF!</v>
      </c>
      <c r="HB3" t="e">
        <f>AND(Database!#REF!,"AAAAAFtl+dE=")</f>
        <v>#REF!</v>
      </c>
      <c r="HC3" t="e">
        <f>AND(Database!#REF!,"AAAAAFtl+dI=")</f>
        <v>#REF!</v>
      </c>
      <c r="HD3" t="e">
        <f>AND(Database!#REF!,"AAAAAFtl+dM=")</f>
        <v>#REF!</v>
      </c>
      <c r="HE3" t="e">
        <f>AND(Database!#REF!,"AAAAAFtl+dQ=")</f>
        <v>#REF!</v>
      </c>
      <c r="HF3" t="e">
        <f>AND(Database!#REF!,"AAAAAFtl+dU=")</f>
        <v>#REF!</v>
      </c>
      <c r="HG3" t="e">
        <f>AND(Database!#REF!,"AAAAAFtl+dY=")</f>
        <v>#REF!</v>
      </c>
      <c r="HH3" t="e">
        <f>AND(Database!#REF!,"AAAAAFtl+dc=")</f>
        <v>#REF!</v>
      </c>
      <c r="HI3" t="e">
        <f>IF(Database!#REF!,"AAAAAFtl+dg=",0)</f>
        <v>#REF!</v>
      </c>
      <c r="HJ3" t="e">
        <f>AND(Database!#REF!,"AAAAAFtl+dk=")</f>
        <v>#REF!</v>
      </c>
      <c r="HK3" t="e">
        <f>AND(Database!#REF!,"AAAAAFtl+do=")</f>
        <v>#REF!</v>
      </c>
      <c r="HL3" t="e">
        <f>AND(Database!#REF!,"AAAAAFtl+ds=")</f>
        <v>#REF!</v>
      </c>
      <c r="HM3" t="e">
        <f>AND(Database!#REF!,"AAAAAFtl+dw=")</f>
        <v>#REF!</v>
      </c>
      <c r="HN3" t="e">
        <f>AND(Database!#REF!,"AAAAAFtl+d0=")</f>
        <v>#REF!</v>
      </c>
      <c r="HO3" t="e">
        <f>AND(Database!#REF!,"AAAAAFtl+d4=")</f>
        <v>#REF!</v>
      </c>
      <c r="HP3" t="e">
        <f>AND(Database!#REF!,"AAAAAFtl+d8=")</f>
        <v>#REF!</v>
      </c>
      <c r="HQ3" t="e">
        <f>AND(Database!#REF!,"AAAAAFtl+eA=")</f>
        <v>#REF!</v>
      </c>
      <c r="HR3" t="e">
        <f>AND(Database!#REF!,"AAAAAFtl+eE=")</f>
        <v>#REF!</v>
      </c>
      <c r="HS3" t="e">
        <f>AND(Database!#REF!,"AAAAAFtl+eI=")</f>
        <v>#REF!</v>
      </c>
      <c r="HT3" t="e">
        <f>AND(Database!#REF!,"AAAAAFtl+eM=")</f>
        <v>#REF!</v>
      </c>
      <c r="HU3" t="e">
        <f>AND(Database!#REF!,"AAAAAFtl+eQ=")</f>
        <v>#REF!</v>
      </c>
      <c r="HV3" t="e">
        <f>IF(Database!#REF!,"AAAAAFtl+eU=",0)</f>
        <v>#REF!</v>
      </c>
      <c r="HW3" t="e">
        <f>AND(Database!#REF!,"AAAAAFtl+eY=")</f>
        <v>#REF!</v>
      </c>
      <c r="HX3" t="e">
        <f>AND(Database!#REF!,"AAAAAFtl+ec=")</f>
        <v>#REF!</v>
      </c>
      <c r="HY3" t="e">
        <f>AND(Database!#REF!,"AAAAAFtl+eg=")</f>
        <v>#REF!</v>
      </c>
      <c r="HZ3" t="e">
        <f>AND(Database!#REF!,"AAAAAFtl+ek=")</f>
        <v>#REF!</v>
      </c>
      <c r="IA3" t="e">
        <f>AND(Database!#REF!,"AAAAAFtl+eo=")</f>
        <v>#REF!</v>
      </c>
      <c r="IB3" t="e">
        <f>AND(Database!#REF!,"AAAAAFtl+es=")</f>
        <v>#REF!</v>
      </c>
      <c r="IC3" t="e">
        <f>AND(Database!#REF!,"AAAAAFtl+ew=")</f>
        <v>#REF!</v>
      </c>
      <c r="ID3" t="e">
        <f>AND(Database!#REF!,"AAAAAFtl+e0=")</f>
        <v>#REF!</v>
      </c>
      <c r="IE3" t="e">
        <f>AND(Database!#REF!,"AAAAAFtl+e4=")</f>
        <v>#REF!</v>
      </c>
      <c r="IF3" t="e">
        <f>AND(Database!#REF!,"AAAAAFtl+e8=")</f>
        <v>#REF!</v>
      </c>
      <c r="IG3" t="e">
        <f>AND(Database!#REF!,"AAAAAFtl+fA=")</f>
        <v>#REF!</v>
      </c>
      <c r="IH3" t="e">
        <f>AND(Database!#REF!,"AAAAAFtl+fE=")</f>
        <v>#REF!</v>
      </c>
      <c r="II3" t="e">
        <f>IF(Database!#REF!,"AAAAAFtl+fI=",0)</f>
        <v>#REF!</v>
      </c>
      <c r="IJ3" t="e">
        <f>AND(Database!#REF!,"AAAAAFtl+fM=")</f>
        <v>#REF!</v>
      </c>
      <c r="IK3" t="e">
        <f>AND(Database!#REF!,"AAAAAFtl+fQ=")</f>
        <v>#REF!</v>
      </c>
      <c r="IL3" t="e">
        <f>AND(Database!#REF!,"AAAAAFtl+fU=")</f>
        <v>#REF!</v>
      </c>
      <c r="IM3" t="e">
        <f>AND(Database!#REF!,"AAAAAFtl+fY=")</f>
        <v>#REF!</v>
      </c>
      <c r="IN3" t="e">
        <f>AND(Database!#REF!,"AAAAAFtl+fc=")</f>
        <v>#REF!</v>
      </c>
      <c r="IO3" t="e">
        <f>AND(Database!#REF!,"AAAAAFtl+fg=")</f>
        <v>#REF!</v>
      </c>
      <c r="IP3" t="e">
        <f>AND(Database!#REF!,"AAAAAFtl+fk=")</f>
        <v>#REF!</v>
      </c>
      <c r="IQ3" t="e">
        <f>AND(Database!#REF!,"AAAAAFtl+fo=")</f>
        <v>#REF!</v>
      </c>
      <c r="IR3" t="e">
        <f>AND(Database!#REF!,"AAAAAFtl+fs=")</f>
        <v>#REF!</v>
      </c>
      <c r="IS3" t="e">
        <f>AND(Database!#REF!,"AAAAAFtl+fw=")</f>
        <v>#REF!</v>
      </c>
      <c r="IT3" t="e">
        <f>AND(Database!#REF!,"AAAAAFtl+f0=")</f>
        <v>#REF!</v>
      </c>
      <c r="IU3" t="e">
        <f>AND(Database!#REF!,"AAAAAFtl+f4=")</f>
        <v>#REF!</v>
      </c>
      <c r="IV3" t="e">
        <f>IF(Database!#REF!,"AAAAAFtl+f8=",0)</f>
        <v>#REF!</v>
      </c>
    </row>
    <row r="4" spans="1:256" x14ac:dyDescent="0.3">
      <c r="A4" t="e">
        <f>AND(Database!#REF!,"AAAAAFf//wA=")</f>
        <v>#REF!</v>
      </c>
      <c r="B4" t="e">
        <f>AND(Database!#REF!,"AAAAAFf//wE=")</f>
        <v>#REF!</v>
      </c>
      <c r="C4" t="e">
        <f>AND(Database!#REF!,"AAAAAFf//wI=")</f>
        <v>#REF!</v>
      </c>
      <c r="D4" t="e">
        <f>AND(Database!#REF!,"AAAAAFf//wM=")</f>
        <v>#REF!</v>
      </c>
      <c r="E4" t="e">
        <f>AND(Database!#REF!,"AAAAAFf//wQ=")</f>
        <v>#REF!</v>
      </c>
      <c r="F4" t="e">
        <f>AND(Database!#REF!,"AAAAAFf//wU=")</f>
        <v>#REF!</v>
      </c>
      <c r="G4" t="e">
        <f>AND(Database!#REF!,"AAAAAFf//wY=")</f>
        <v>#REF!</v>
      </c>
      <c r="H4" t="e">
        <f>AND(Database!#REF!,"AAAAAFf//wc=")</f>
        <v>#REF!</v>
      </c>
      <c r="I4" t="e">
        <f>AND(Database!#REF!,"AAAAAFf//wg=")</f>
        <v>#REF!</v>
      </c>
      <c r="J4" t="e">
        <f>AND(Database!#REF!,"AAAAAFf//wk=")</f>
        <v>#REF!</v>
      </c>
      <c r="K4" t="e">
        <f>AND(Database!#REF!,"AAAAAFf//wo=")</f>
        <v>#REF!</v>
      </c>
      <c r="L4" t="e">
        <f>AND(Database!#REF!,"AAAAAFf//ws=")</f>
        <v>#REF!</v>
      </c>
      <c r="M4" t="e">
        <f>IF(Database!#REF!,"AAAAAFf//ww=",0)</f>
        <v>#REF!</v>
      </c>
      <c r="N4" t="e">
        <f>AND(Database!#REF!,"AAAAAFf//w0=")</f>
        <v>#REF!</v>
      </c>
      <c r="O4" t="e">
        <f>AND(Database!#REF!,"AAAAAFf//w4=")</f>
        <v>#REF!</v>
      </c>
      <c r="P4" t="e">
        <f>AND(Database!#REF!,"AAAAAFf//w8=")</f>
        <v>#REF!</v>
      </c>
      <c r="Q4" t="e">
        <f>AND(Database!#REF!,"AAAAAFf//xA=")</f>
        <v>#REF!</v>
      </c>
      <c r="R4" t="e">
        <f>AND(Database!#REF!,"AAAAAFf//xE=")</f>
        <v>#REF!</v>
      </c>
      <c r="S4" t="e">
        <f>AND(Database!#REF!,"AAAAAFf//xI=")</f>
        <v>#REF!</v>
      </c>
      <c r="T4" t="e">
        <f>AND(Database!#REF!,"AAAAAFf//xM=")</f>
        <v>#REF!</v>
      </c>
      <c r="U4" t="e">
        <f>AND(Database!#REF!,"AAAAAFf//xQ=")</f>
        <v>#REF!</v>
      </c>
      <c r="V4" t="e">
        <f>AND(Database!#REF!,"AAAAAFf//xU=")</f>
        <v>#REF!</v>
      </c>
      <c r="W4" t="e">
        <f>AND(Database!#REF!,"AAAAAFf//xY=")</f>
        <v>#REF!</v>
      </c>
      <c r="X4" t="e">
        <f>AND(Database!#REF!,"AAAAAFf//xc=")</f>
        <v>#REF!</v>
      </c>
      <c r="Y4" t="e">
        <f>AND(Database!#REF!,"AAAAAFf//xg=")</f>
        <v>#REF!</v>
      </c>
      <c r="Z4" t="e">
        <f>IF(Database!#REF!,"AAAAAFf//xk=",0)</f>
        <v>#REF!</v>
      </c>
      <c r="AA4" t="e">
        <f>AND(Database!#REF!,"AAAAAFf//xo=")</f>
        <v>#REF!</v>
      </c>
      <c r="AB4" t="e">
        <f>AND(Database!#REF!,"AAAAAFf//xs=")</f>
        <v>#REF!</v>
      </c>
      <c r="AC4" t="e">
        <f>AND(Database!#REF!,"AAAAAFf//xw=")</f>
        <v>#REF!</v>
      </c>
      <c r="AD4" t="e">
        <f>AND(Database!#REF!,"AAAAAFf//x0=")</f>
        <v>#REF!</v>
      </c>
      <c r="AE4" t="e">
        <f>AND(Database!#REF!,"AAAAAFf//x4=")</f>
        <v>#REF!</v>
      </c>
      <c r="AF4" t="e">
        <f>AND(Database!#REF!,"AAAAAFf//x8=")</f>
        <v>#REF!</v>
      </c>
      <c r="AG4" t="e">
        <f>AND(Database!#REF!,"AAAAAFf//yA=")</f>
        <v>#REF!</v>
      </c>
      <c r="AH4" t="e">
        <f>AND(Database!#REF!,"AAAAAFf//yE=")</f>
        <v>#REF!</v>
      </c>
      <c r="AI4" t="e">
        <f>AND(Database!#REF!,"AAAAAFf//yI=")</f>
        <v>#REF!</v>
      </c>
      <c r="AJ4" t="e">
        <f>AND(Database!#REF!,"AAAAAFf//yM=")</f>
        <v>#REF!</v>
      </c>
      <c r="AK4" t="e">
        <f>AND(Database!#REF!,"AAAAAFf//yQ=")</f>
        <v>#REF!</v>
      </c>
      <c r="AL4" t="e">
        <f>AND(Database!#REF!,"AAAAAFf//yU=")</f>
        <v>#REF!</v>
      </c>
      <c r="AM4" t="e">
        <f>IF(Database!#REF!,"AAAAAFf//yY=",0)</f>
        <v>#REF!</v>
      </c>
      <c r="AN4" t="e">
        <f>AND(Database!#REF!,"AAAAAFf//yc=")</f>
        <v>#REF!</v>
      </c>
      <c r="AO4" t="e">
        <f>AND(Database!#REF!,"AAAAAFf//yg=")</f>
        <v>#REF!</v>
      </c>
      <c r="AP4" t="e">
        <f>AND(Database!#REF!,"AAAAAFf//yk=")</f>
        <v>#REF!</v>
      </c>
      <c r="AQ4" t="e">
        <f>AND(Database!#REF!,"AAAAAFf//yo=")</f>
        <v>#REF!</v>
      </c>
      <c r="AR4" t="e">
        <f>AND(Database!#REF!,"AAAAAFf//ys=")</f>
        <v>#REF!</v>
      </c>
      <c r="AS4" t="e">
        <f>AND(Database!#REF!,"AAAAAFf//yw=")</f>
        <v>#REF!</v>
      </c>
      <c r="AT4" t="e">
        <f>AND(Database!#REF!,"AAAAAFf//y0=")</f>
        <v>#REF!</v>
      </c>
      <c r="AU4" t="e">
        <f>AND(Database!#REF!,"AAAAAFf//y4=")</f>
        <v>#REF!</v>
      </c>
      <c r="AV4" t="e">
        <f>AND(Database!#REF!,"AAAAAFf//y8=")</f>
        <v>#REF!</v>
      </c>
      <c r="AW4" t="e">
        <f>AND(Database!#REF!,"AAAAAFf//zA=")</f>
        <v>#REF!</v>
      </c>
      <c r="AX4" t="e">
        <f>AND(Database!#REF!,"AAAAAFf//zE=")</f>
        <v>#REF!</v>
      </c>
      <c r="AY4" t="e">
        <f>AND(Database!#REF!,"AAAAAFf//zI=")</f>
        <v>#REF!</v>
      </c>
      <c r="AZ4" t="e">
        <f>IF(Database!#REF!,"AAAAAFf//zM=",0)</f>
        <v>#REF!</v>
      </c>
      <c r="BA4" t="e">
        <f>AND(Database!#REF!,"AAAAAFf//zQ=")</f>
        <v>#REF!</v>
      </c>
      <c r="BB4" t="e">
        <f>AND(Database!#REF!,"AAAAAFf//zU=")</f>
        <v>#REF!</v>
      </c>
      <c r="BC4" t="e">
        <f>AND(Database!#REF!,"AAAAAFf//zY=")</f>
        <v>#REF!</v>
      </c>
      <c r="BD4" t="e">
        <f>AND(Database!#REF!,"AAAAAFf//zc=")</f>
        <v>#REF!</v>
      </c>
      <c r="BE4" t="e">
        <f>AND(Database!#REF!,"AAAAAFf//zg=")</f>
        <v>#REF!</v>
      </c>
      <c r="BF4" t="e">
        <f>AND(Database!#REF!,"AAAAAFf//zk=")</f>
        <v>#REF!</v>
      </c>
      <c r="BG4" t="e">
        <f>AND(Database!#REF!,"AAAAAFf//zo=")</f>
        <v>#REF!</v>
      </c>
      <c r="BH4" t="e">
        <f>AND(Database!#REF!,"AAAAAFf//zs=")</f>
        <v>#REF!</v>
      </c>
      <c r="BI4" t="e">
        <f>AND(Database!#REF!,"AAAAAFf//zw=")</f>
        <v>#REF!</v>
      </c>
      <c r="BJ4" t="e">
        <f>AND(Database!#REF!,"AAAAAFf//z0=")</f>
        <v>#REF!</v>
      </c>
      <c r="BK4" t="e">
        <f>AND(Database!#REF!,"AAAAAFf//z4=")</f>
        <v>#REF!</v>
      </c>
      <c r="BL4" t="e">
        <f>AND(Database!#REF!,"AAAAAFf//z8=")</f>
        <v>#REF!</v>
      </c>
      <c r="BM4" t="e">
        <f>IF(Database!#REF!,"AAAAAFf//0A=",0)</f>
        <v>#REF!</v>
      </c>
      <c r="BN4" t="e">
        <f>AND(Database!#REF!,"AAAAAFf//0E=")</f>
        <v>#REF!</v>
      </c>
      <c r="BO4" t="e">
        <f>AND(Database!#REF!,"AAAAAFf//0I=")</f>
        <v>#REF!</v>
      </c>
      <c r="BP4" t="e">
        <f>AND(Database!#REF!,"AAAAAFf//0M=")</f>
        <v>#REF!</v>
      </c>
      <c r="BQ4" t="e">
        <f>AND(Database!#REF!,"AAAAAFf//0Q=")</f>
        <v>#REF!</v>
      </c>
      <c r="BR4" t="e">
        <f>AND(Database!#REF!,"AAAAAFf//0U=")</f>
        <v>#REF!</v>
      </c>
      <c r="BS4" t="e">
        <f>AND(Database!#REF!,"AAAAAFf//0Y=")</f>
        <v>#REF!</v>
      </c>
      <c r="BT4" t="e">
        <f>AND(Database!#REF!,"AAAAAFf//0c=")</f>
        <v>#REF!</v>
      </c>
      <c r="BU4" t="e">
        <f>AND(Database!#REF!,"AAAAAFf//0g=")</f>
        <v>#REF!</v>
      </c>
      <c r="BV4" t="e">
        <f>AND(Database!#REF!,"AAAAAFf//0k=")</f>
        <v>#REF!</v>
      </c>
      <c r="BW4" t="e">
        <f>AND(Database!#REF!,"AAAAAFf//0o=")</f>
        <v>#REF!</v>
      </c>
      <c r="BX4" t="e">
        <f>AND(Database!#REF!,"AAAAAFf//0s=")</f>
        <v>#REF!</v>
      </c>
      <c r="BY4" t="e">
        <f>AND(Database!#REF!,"AAAAAFf//0w=")</f>
        <v>#REF!</v>
      </c>
      <c r="BZ4" t="e">
        <f>IF(Database!#REF!,"AAAAAFf//00=",0)</f>
        <v>#REF!</v>
      </c>
      <c r="CA4" t="e">
        <f>IF(Database!A:A,"AAAAAFf//04=",0)</f>
        <v>#VALUE!</v>
      </c>
      <c r="CB4" t="e">
        <f>IF(Database!#REF!,"AAAAAFf//08=",0)</f>
        <v>#REF!</v>
      </c>
      <c r="CC4" t="e">
        <f>IF(Database!#REF!,"AAAAAFf//1A=",0)</f>
        <v>#REF!</v>
      </c>
      <c r="CD4" t="e">
        <f>IF(Database!#REF!,"AAAAAFf//1E=",0)</f>
        <v>#REF!</v>
      </c>
      <c r="CE4" t="e">
        <f>IF(Database!#REF!,"AAAAAFf//1I=",0)</f>
        <v>#REF!</v>
      </c>
      <c r="CF4" t="e">
        <f>IF(Database!#REF!,"AAAAAFf//1M=",0)</f>
        <v>#REF!</v>
      </c>
      <c r="CG4" t="e">
        <f>IF(Database!#REF!,"AAAAAFf//1Q=",0)</f>
        <v>#REF!</v>
      </c>
      <c r="CH4" t="e">
        <f>IF(Database!#REF!,"AAAAAFf//1U=",0)</f>
        <v>#REF!</v>
      </c>
      <c r="CI4" t="e">
        <f>IF(Database!#REF!,"AAAAAFf//1Y=",0)</f>
        <v>#REF!</v>
      </c>
      <c r="CJ4" t="e">
        <f>IF(Database!#REF!,"AAAAAFf//1c=",0)</f>
        <v>#REF!</v>
      </c>
      <c r="CK4" t="e">
        <f>IF(Database!#REF!,"AAAAAFf//1g=",0)</f>
        <v>#REF!</v>
      </c>
      <c r="CL4" t="e">
        <f>IF(Database!#REF!,"AAAAAFf//1k=",0)</f>
        <v>#REF!</v>
      </c>
      <c r="CM4" t="e">
        <f>IF(#REF!,"AAAAAFf//1o=",0)</f>
        <v>#REF!</v>
      </c>
      <c r="CN4" t="e">
        <f>AND(#REF!,"AAAAAFf//1s=")</f>
        <v>#REF!</v>
      </c>
      <c r="CO4" t="e">
        <f>AND(#REF!,"AAAAAFf//1w=")</f>
        <v>#REF!</v>
      </c>
      <c r="CP4" t="e">
        <f>AND(#REF!,"AAAAAFf//10=")</f>
        <v>#REF!</v>
      </c>
      <c r="CQ4" t="e">
        <f>AND(#REF!,"AAAAAFf//14=")</f>
        <v>#REF!</v>
      </c>
      <c r="CR4" t="e">
        <f>AND(#REF!,"AAAAAFf//18=")</f>
        <v>#REF!</v>
      </c>
      <c r="CS4" t="e">
        <f>AND(#REF!,"AAAAAFf//2A=")</f>
        <v>#REF!</v>
      </c>
      <c r="CT4" t="e">
        <f>AND(#REF!,"AAAAAFf//2E=")</f>
        <v>#REF!</v>
      </c>
      <c r="CU4" t="e">
        <f>AND(#REF!,"AAAAAFf//2I=")</f>
        <v>#REF!</v>
      </c>
      <c r="CV4" t="e">
        <f>AND(#REF!,"AAAAAFf//2M=")</f>
        <v>#REF!</v>
      </c>
      <c r="CW4" t="e">
        <f>AND(#REF!,"AAAAAFf//2Q=")</f>
        <v>#REF!</v>
      </c>
      <c r="CX4" t="e">
        <f>AND(#REF!,"AAAAAFf//2U=")</f>
        <v>#REF!</v>
      </c>
      <c r="CY4" t="e">
        <f>IF(#REF!,"AAAAAFf//2Y=",0)</f>
        <v>#REF!</v>
      </c>
      <c r="CZ4" t="e">
        <f>AND(#REF!,"AAAAAFf//2c=")</f>
        <v>#REF!</v>
      </c>
      <c r="DA4" t="e">
        <f>AND(#REF!,"AAAAAFf//2g=")</f>
        <v>#REF!</v>
      </c>
      <c r="DB4" t="e">
        <f>AND(#REF!,"AAAAAFf//2k=")</f>
        <v>#REF!</v>
      </c>
      <c r="DC4" t="e">
        <f>AND(#REF!,"AAAAAFf//2o=")</f>
        <v>#REF!</v>
      </c>
      <c r="DD4" t="e">
        <f>AND(#REF!,"AAAAAFf//2s=")</f>
        <v>#REF!</v>
      </c>
      <c r="DE4" t="e">
        <f>AND(#REF!,"AAAAAFf//2w=")</f>
        <v>#REF!</v>
      </c>
      <c r="DF4" t="e">
        <f>AND(#REF!,"AAAAAFf//20=")</f>
        <v>#REF!</v>
      </c>
      <c r="DG4" t="e">
        <f>AND(#REF!,"AAAAAFf//24=")</f>
        <v>#REF!</v>
      </c>
      <c r="DH4" t="e">
        <f>AND(#REF!,"AAAAAFf//28=")</f>
        <v>#REF!</v>
      </c>
      <c r="DI4" t="e">
        <f>AND(#REF!,"AAAAAFf//3A=")</f>
        <v>#REF!</v>
      </c>
      <c r="DJ4" t="e">
        <f>AND(#REF!,"AAAAAFf//3E=")</f>
        <v>#REF!</v>
      </c>
      <c r="DK4" t="e">
        <f>IF(#REF!,"AAAAAFf//3I=",0)</f>
        <v>#REF!</v>
      </c>
      <c r="DL4" t="e">
        <f>AND(#REF!,"AAAAAFf//3M=")</f>
        <v>#REF!</v>
      </c>
      <c r="DM4" t="e">
        <f>AND(#REF!,"AAAAAFf//3Q=")</f>
        <v>#REF!</v>
      </c>
      <c r="DN4" t="e">
        <f>AND(#REF!,"AAAAAFf//3U=")</f>
        <v>#REF!</v>
      </c>
      <c r="DO4" t="e">
        <f>AND(#REF!,"AAAAAFf//3Y=")</f>
        <v>#REF!</v>
      </c>
      <c r="DP4" t="e">
        <f>AND(#REF!,"AAAAAFf//3c=")</f>
        <v>#REF!</v>
      </c>
      <c r="DQ4" t="e">
        <f>AND(#REF!,"AAAAAFf//3g=")</f>
        <v>#REF!</v>
      </c>
      <c r="DR4" t="e">
        <f>AND(#REF!,"AAAAAFf//3k=")</f>
        <v>#REF!</v>
      </c>
      <c r="DS4" t="e">
        <f>AND(#REF!,"AAAAAFf//3o=")</f>
        <v>#REF!</v>
      </c>
      <c r="DT4" t="e">
        <f>AND(#REF!,"AAAAAFf//3s=")</f>
        <v>#REF!</v>
      </c>
      <c r="DU4" t="e">
        <f>AND(#REF!,"AAAAAFf//3w=")</f>
        <v>#REF!</v>
      </c>
      <c r="DV4" t="e">
        <f>AND(#REF!,"AAAAAFf//30=")</f>
        <v>#REF!</v>
      </c>
      <c r="DW4" t="e">
        <f>IF(#REF!,"AAAAAFf//34=",0)</f>
        <v>#REF!</v>
      </c>
      <c r="DX4" t="e">
        <f>AND(#REF!,"AAAAAFf//38=")</f>
        <v>#REF!</v>
      </c>
      <c r="DY4" t="e">
        <f>AND(#REF!,"AAAAAFf//4A=")</f>
        <v>#REF!</v>
      </c>
      <c r="DZ4" t="e">
        <f>AND(#REF!,"AAAAAFf//4E=")</f>
        <v>#REF!</v>
      </c>
      <c r="EA4" t="e">
        <f>AND(#REF!,"AAAAAFf//4I=")</f>
        <v>#REF!</v>
      </c>
      <c r="EB4" t="e">
        <f>AND(#REF!,"AAAAAFf//4M=")</f>
        <v>#REF!</v>
      </c>
      <c r="EC4" t="e">
        <f>AND(#REF!,"AAAAAFf//4Q=")</f>
        <v>#REF!</v>
      </c>
      <c r="ED4" t="e">
        <f>AND(#REF!,"AAAAAFf//4U=")</f>
        <v>#REF!</v>
      </c>
      <c r="EE4" t="e">
        <f>AND(#REF!,"AAAAAFf//4Y=")</f>
        <v>#REF!</v>
      </c>
      <c r="EF4" t="e">
        <f>AND(#REF!,"AAAAAFf//4c=")</f>
        <v>#REF!</v>
      </c>
      <c r="EG4" t="e">
        <f>AND(#REF!,"AAAAAFf//4g=")</f>
        <v>#REF!</v>
      </c>
      <c r="EH4" t="e">
        <f>AND(#REF!,"AAAAAFf//4k=")</f>
        <v>#REF!</v>
      </c>
      <c r="EI4" t="e">
        <f>IF(#REF!,"AAAAAFf//4o=",0)</f>
        <v>#REF!</v>
      </c>
      <c r="EJ4" t="e">
        <f>AND(#REF!,"AAAAAFf//4s=")</f>
        <v>#REF!</v>
      </c>
      <c r="EK4" t="e">
        <f>AND(#REF!,"AAAAAFf//4w=")</f>
        <v>#REF!</v>
      </c>
      <c r="EL4" t="e">
        <f>AND(#REF!,"AAAAAFf//40=")</f>
        <v>#REF!</v>
      </c>
      <c r="EM4" t="e">
        <f>AND(#REF!,"AAAAAFf//44=")</f>
        <v>#REF!</v>
      </c>
      <c r="EN4" t="e">
        <f>AND(#REF!,"AAAAAFf//48=")</f>
        <v>#REF!</v>
      </c>
      <c r="EO4" t="e">
        <f>AND(#REF!,"AAAAAFf//5A=")</f>
        <v>#REF!</v>
      </c>
      <c r="EP4" t="e">
        <f>AND(#REF!,"AAAAAFf//5E=")</f>
        <v>#REF!</v>
      </c>
      <c r="EQ4" t="e">
        <f>AND(#REF!,"AAAAAFf//5I=")</f>
        <v>#REF!</v>
      </c>
      <c r="ER4" t="e">
        <f>AND(#REF!,"AAAAAFf//5M=")</f>
        <v>#REF!</v>
      </c>
      <c r="ES4" t="e">
        <f>AND(#REF!,"AAAAAFf//5Q=")</f>
        <v>#REF!</v>
      </c>
      <c r="ET4" t="e">
        <f>AND(#REF!,"AAAAAFf//5U=")</f>
        <v>#REF!</v>
      </c>
      <c r="EU4" t="e">
        <f>IF(#REF!,"AAAAAFf//5Y=",0)</f>
        <v>#REF!</v>
      </c>
      <c r="EV4" t="e">
        <f>AND(#REF!,"AAAAAFf//5c=")</f>
        <v>#REF!</v>
      </c>
      <c r="EW4" t="e">
        <f>AND(#REF!,"AAAAAFf//5g=")</f>
        <v>#REF!</v>
      </c>
      <c r="EX4" t="e">
        <f>AND(#REF!,"AAAAAFf//5k=")</f>
        <v>#REF!</v>
      </c>
      <c r="EY4" t="e">
        <f>AND(#REF!,"AAAAAFf//5o=")</f>
        <v>#REF!</v>
      </c>
      <c r="EZ4" t="e">
        <f>AND(#REF!,"AAAAAFf//5s=")</f>
        <v>#REF!</v>
      </c>
      <c r="FA4" t="e">
        <f>AND(#REF!,"AAAAAFf//5w=")</f>
        <v>#REF!</v>
      </c>
      <c r="FB4" t="e">
        <f>AND(#REF!,"AAAAAFf//50=")</f>
        <v>#REF!</v>
      </c>
      <c r="FC4" t="e">
        <f>AND(#REF!,"AAAAAFf//54=")</f>
        <v>#REF!</v>
      </c>
      <c r="FD4" t="e">
        <f>AND(#REF!,"AAAAAFf//58=")</f>
        <v>#REF!</v>
      </c>
      <c r="FE4" t="e">
        <f>AND(#REF!,"AAAAAFf//6A=")</f>
        <v>#REF!</v>
      </c>
      <c r="FF4" t="e">
        <f>AND(#REF!,"AAAAAFf//6E=")</f>
        <v>#REF!</v>
      </c>
      <c r="FG4" t="e">
        <f>IF(#REF!,"AAAAAFf//6I=",0)</f>
        <v>#REF!</v>
      </c>
      <c r="FH4" t="e">
        <f>AND(#REF!,"AAAAAFf//6M=")</f>
        <v>#REF!</v>
      </c>
      <c r="FI4" t="e">
        <f>AND(#REF!,"AAAAAFf//6Q=")</f>
        <v>#REF!</v>
      </c>
      <c r="FJ4" t="e">
        <f>AND(#REF!,"AAAAAFf//6U=")</f>
        <v>#REF!</v>
      </c>
      <c r="FK4" t="e">
        <f>AND(#REF!,"AAAAAFf//6Y=")</f>
        <v>#REF!</v>
      </c>
      <c r="FL4" t="e">
        <f>AND(#REF!,"AAAAAFf//6c=")</f>
        <v>#REF!</v>
      </c>
      <c r="FM4" t="e">
        <f>AND(#REF!,"AAAAAFf//6g=")</f>
        <v>#REF!</v>
      </c>
      <c r="FN4" t="e">
        <f>AND(#REF!,"AAAAAFf//6k=")</f>
        <v>#REF!</v>
      </c>
      <c r="FO4" t="e">
        <f>AND(#REF!,"AAAAAFf//6o=")</f>
        <v>#REF!</v>
      </c>
      <c r="FP4" t="e">
        <f>AND(#REF!,"AAAAAFf//6s=")</f>
        <v>#REF!</v>
      </c>
      <c r="FQ4" t="e">
        <f>AND(#REF!,"AAAAAFf//6w=")</f>
        <v>#REF!</v>
      </c>
      <c r="FR4" t="e">
        <f>AND(#REF!,"AAAAAFf//60=")</f>
        <v>#REF!</v>
      </c>
      <c r="FS4" t="e">
        <f>IF(#REF!,"AAAAAFf//64=",0)</f>
        <v>#REF!</v>
      </c>
      <c r="FT4" t="e">
        <f>AND(#REF!,"AAAAAFf//68=")</f>
        <v>#REF!</v>
      </c>
      <c r="FU4" t="e">
        <f>AND(#REF!,"AAAAAFf//7A=")</f>
        <v>#REF!</v>
      </c>
      <c r="FV4" t="e">
        <f>AND(#REF!,"AAAAAFf//7E=")</f>
        <v>#REF!</v>
      </c>
      <c r="FW4" t="e">
        <f>AND(#REF!,"AAAAAFf//7I=")</f>
        <v>#REF!</v>
      </c>
      <c r="FX4" t="e">
        <f>AND(#REF!,"AAAAAFf//7M=")</f>
        <v>#REF!</v>
      </c>
      <c r="FY4" t="e">
        <f>AND(#REF!,"AAAAAFf//7Q=")</f>
        <v>#REF!</v>
      </c>
      <c r="FZ4" t="e">
        <f>AND(#REF!,"AAAAAFf//7U=")</f>
        <v>#REF!</v>
      </c>
      <c r="GA4" t="e">
        <f>AND(#REF!,"AAAAAFf//7Y=")</f>
        <v>#REF!</v>
      </c>
      <c r="GB4" t="e">
        <f>AND(#REF!,"AAAAAFf//7c=")</f>
        <v>#REF!</v>
      </c>
      <c r="GC4" t="e">
        <f>AND(#REF!,"AAAAAFf//7g=")</f>
        <v>#REF!</v>
      </c>
      <c r="GD4" t="e">
        <f>AND(#REF!,"AAAAAFf//7k=")</f>
        <v>#REF!</v>
      </c>
      <c r="GE4" t="e">
        <f>IF(#REF!,"AAAAAFf//7o=",0)</f>
        <v>#REF!</v>
      </c>
      <c r="GF4" t="e">
        <f>AND(#REF!,"AAAAAFf//7s=")</f>
        <v>#REF!</v>
      </c>
      <c r="GG4" t="e">
        <f>AND(#REF!,"AAAAAFf//7w=")</f>
        <v>#REF!</v>
      </c>
      <c r="GH4" t="e">
        <f>AND(#REF!,"AAAAAFf//70=")</f>
        <v>#REF!</v>
      </c>
      <c r="GI4" t="e">
        <f>AND(#REF!,"AAAAAFf//74=")</f>
        <v>#REF!</v>
      </c>
      <c r="GJ4" t="e">
        <f>AND(#REF!,"AAAAAFf//78=")</f>
        <v>#REF!</v>
      </c>
      <c r="GK4" t="e">
        <f>AND(#REF!,"AAAAAFf//8A=")</f>
        <v>#REF!</v>
      </c>
      <c r="GL4" t="e">
        <f>AND(#REF!,"AAAAAFf//8E=")</f>
        <v>#REF!</v>
      </c>
      <c r="GM4" t="e">
        <f>AND(#REF!,"AAAAAFf//8I=")</f>
        <v>#REF!</v>
      </c>
      <c r="GN4" t="e">
        <f>AND(#REF!,"AAAAAFf//8M=")</f>
        <v>#REF!</v>
      </c>
      <c r="GO4" t="e">
        <f>AND(#REF!,"AAAAAFf//8Q=")</f>
        <v>#REF!</v>
      </c>
      <c r="GP4" t="e">
        <f>AND(#REF!,"AAAAAFf//8U=")</f>
        <v>#REF!</v>
      </c>
      <c r="GQ4" t="e">
        <f>IF(#REF!,"AAAAAFf//8Y=",0)</f>
        <v>#REF!</v>
      </c>
      <c r="GR4" t="e">
        <f>AND(#REF!,"AAAAAFf//8c=")</f>
        <v>#REF!</v>
      </c>
      <c r="GS4" t="e">
        <f>AND(#REF!,"AAAAAFf//8g=")</f>
        <v>#REF!</v>
      </c>
      <c r="GT4" t="e">
        <f>AND(#REF!,"AAAAAFf//8k=")</f>
        <v>#REF!</v>
      </c>
      <c r="GU4" t="e">
        <f>AND(#REF!,"AAAAAFf//8o=")</f>
        <v>#REF!</v>
      </c>
      <c r="GV4" t="e">
        <f>AND(#REF!,"AAAAAFf//8s=")</f>
        <v>#REF!</v>
      </c>
      <c r="GW4" t="e">
        <f>AND(#REF!,"AAAAAFf//8w=")</f>
        <v>#REF!</v>
      </c>
      <c r="GX4" t="e">
        <f>AND(#REF!,"AAAAAFf//80=")</f>
        <v>#REF!</v>
      </c>
      <c r="GY4" t="e">
        <f>AND(#REF!,"AAAAAFf//84=")</f>
        <v>#REF!</v>
      </c>
      <c r="GZ4" t="e">
        <f>AND(#REF!,"AAAAAFf//88=")</f>
        <v>#REF!</v>
      </c>
      <c r="HA4" t="e">
        <f>AND(#REF!,"AAAAAFf//9A=")</f>
        <v>#REF!</v>
      </c>
      <c r="HB4" t="e">
        <f>AND(#REF!,"AAAAAFf//9E=")</f>
        <v>#REF!</v>
      </c>
      <c r="HC4" t="e">
        <f>IF(#REF!,"AAAAAFf//9I=",0)</f>
        <v>#REF!</v>
      </c>
      <c r="HD4" t="e">
        <f>AND(#REF!,"AAAAAFf//9M=")</f>
        <v>#REF!</v>
      </c>
      <c r="HE4" t="e">
        <f>AND(#REF!,"AAAAAFf//9Q=")</f>
        <v>#REF!</v>
      </c>
      <c r="HF4" t="e">
        <f>AND(#REF!,"AAAAAFf//9U=")</f>
        <v>#REF!</v>
      </c>
      <c r="HG4" t="e">
        <f>AND(#REF!,"AAAAAFf//9Y=")</f>
        <v>#REF!</v>
      </c>
      <c r="HH4" t="e">
        <f>AND(#REF!,"AAAAAFf//9c=")</f>
        <v>#REF!</v>
      </c>
      <c r="HI4" t="e">
        <f>AND(#REF!,"AAAAAFf//9g=")</f>
        <v>#REF!</v>
      </c>
      <c r="HJ4" t="e">
        <f>AND(#REF!,"AAAAAFf//9k=")</f>
        <v>#REF!</v>
      </c>
      <c r="HK4" t="e">
        <f>AND(#REF!,"AAAAAFf//9o=")</f>
        <v>#REF!</v>
      </c>
      <c r="HL4" t="e">
        <f>AND(#REF!,"AAAAAFf//9s=")</f>
        <v>#REF!</v>
      </c>
      <c r="HM4" t="e">
        <f>AND(#REF!,"AAAAAFf//9w=")</f>
        <v>#REF!</v>
      </c>
      <c r="HN4" t="e">
        <f>AND(#REF!,"AAAAAFf//90=")</f>
        <v>#REF!</v>
      </c>
      <c r="HO4" t="e">
        <f>IF(#REF!,"AAAAAFf//94=",0)</f>
        <v>#REF!</v>
      </c>
      <c r="HP4" t="e">
        <f>AND(#REF!,"AAAAAFf//98=")</f>
        <v>#REF!</v>
      </c>
      <c r="HQ4" t="e">
        <f>AND(#REF!,"AAAAAFf//+A=")</f>
        <v>#REF!</v>
      </c>
      <c r="HR4" t="e">
        <f>AND(#REF!,"AAAAAFf//+E=")</f>
        <v>#REF!</v>
      </c>
      <c r="HS4" t="e">
        <f>AND(#REF!,"AAAAAFf//+I=")</f>
        <v>#REF!</v>
      </c>
      <c r="HT4" t="e">
        <f>AND(#REF!,"AAAAAFf//+M=")</f>
        <v>#REF!</v>
      </c>
      <c r="HU4" t="e">
        <f>AND(#REF!,"AAAAAFf//+Q=")</f>
        <v>#REF!</v>
      </c>
      <c r="HV4" t="e">
        <f>AND(#REF!,"AAAAAFf//+U=")</f>
        <v>#REF!</v>
      </c>
      <c r="HW4" t="e">
        <f>AND(#REF!,"AAAAAFf//+Y=")</f>
        <v>#REF!</v>
      </c>
      <c r="HX4" t="e">
        <f>AND(#REF!,"AAAAAFf//+c=")</f>
        <v>#REF!</v>
      </c>
      <c r="HY4" t="e">
        <f>AND(#REF!,"AAAAAFf//+g=")</f>
        <v>#REF!</v>
      </c>
      <c r="HZ4" t="e">
        <f>AND(#REF!,"AAAAAFf//+k=")</f>
        <v>#REF!</v>
      </c>
      <c r="IA4" t="e">
        <f>IF(#REF!,"AAAAAFf//+o=",0)</f>
        <v>#REF!</v>
      </c>
      <c r="IB4" t="e">
        <f>AND(#REF!,"AAAAAFf//+s=")</f>
        <v>#REF!</v>
      </c>
      <c r="IC4" t="e">
        <f>AND(#REF!,"AAAAAFf//+w=")</f>
        <v>#REF!</v>
      </c>
      <c r="ID4" t="e">
        <f>AND(#REF!,"AAAAAFf//+0=")</f>
        <v>#REF!</v>
      </c>
      <c r="IE4" t="e">
        <f>AND(#REF!,"AAAAAFf//+4=")</f>
        <v>#REF!</v>
      </c>
      <c r="IF4" t="e">
        <f>AND(#REF!,"AAAAAFf//+8=")</f>
        <v>#REF!</v>
      </c>
      <c r="IG4" t="e">
        <f>AND(#REF!,"AAAAAFf///A=")</f>
        <v>#REF!</v>
      </c>
      <c r="IH4" t="e">
        <f>AND(#REF!,"AAAAAFf///E=")</f>
        <v>#REF!</v>
      </c>
      <c r="II4" t="e">
        <f>AND(#REF!,"AAAAAFf///I=")</f>
        <v>#REF!</v>
      </c>
      <c r="IJ4" t="e">
        <f>AND(#REF!,"AAAAAFf///M=")</f>
        <v>#REF!</v>
      </c>
      <c r="IK4" t="e">
        <f>AND(#REF!,"AAAAAFf///Q=")</f>
        <v>#REF!</v>
      </c>
      <c r="IL4" t="e">
        <f>AND(#REF!,"AAAAAFf///U=")</f>
        <v>#REF!</v>
      </c>
      <c r="IM4" t="e">
        <f>IF(#REF!,"AAAAAFf///Y=",0)</f>
        <v>#REF!</v>
      </c>
      <c r="IN4" t="e">
        <f>AND(#REF!,"AAAAAFf///c=")</f>
        <v>#REF!</v>
      </c>
      <c r="IO4" t="e">
        <f>AND(#REF!,"AAAAAFf///g=")</f>
        <v>#REF!</v>
      </c>
      <c r="IP4" t="e">
        <f>AND(#REF!,"AAAAAFf///k=")</f>
        <v>#REF!</v>
      </c>
      <c r="IQ4" t="e">
        <f>AND(#REF!,"AAAAAFf///o=")</f>
        <v>#REF!</v>
      </c>
      <c r="IR4" t="e">
        <f>AND(#REF!,"AAAAAFf///s=")</f>
        <v>#REF!</v>
      </c>
      <c r="IS4" t="e">
        <f>AND(#REF!,"AAAAAFf///w=")</f>
        <v>#REF!</v>
      </c>
      <c r="IT4" t="e">
        <f>AND(#REF!,"AAAAAFf///0=")</f>
        <v>#REF!</v>
      </c>
      <c r="IU4" t="e">
        <f>AND(#REF!,"AAAAAFf///4=")</f>
        <v>#REF!</v>
      </c>
      <c r="IV4" t="e">
        <f>AND(#REF!,"AAAAAFf///8=")</f>
        <v>#REF!</v>
      </c>
    </row>
    <row r="5" spans="1:256" x14ac:dyDescent="0.3">
      <c r="A5" t="e">
        <f>AND(#REF!,"AAAAAG/ezwA=")</f>
        <v>#REF!</v>
      </c>
      <c r="B5" t="e">
        <f>AND(#REF!,"AAAAAG/ezwE=")</f>
        <v>#REF!</v>
      </c>
      <c r="C5" t="e">
        <f>IF(#REF!,"AAAAAG/ezwI=",0)</f>
        <v>#REF!</v>
      </c>
      <c r="D5" t="e">
        <f>AND(#REF!,"AAAAAG/ezwM=")</f>
        <v>#REF!</v>
      </c>
      <c r="E5" t="e">
        <f>AND(#REF!,"AAAAAG/ezwQ=")</f>
        <v>#REF!</v>
      </c>
      <c r="F5" t="e">
        <f>AND(#REF!,"AAAAAG/ezwU=")</f>
        <v>#REF!</v>
      </c>
      <c r="G5" t="e">
        <f>AND(#REF!,"AAAAAG/ezwY=")</f>
        <v>#REF!</v>
      </c>
      <c r="H5" t="e">
        <f>AND(#REF!,"AAAAAG/ezwc=")</f>
        <v>#REF!</v>
      </c>
      <c r="I5" t="e">
        <f>AND(#REF!,"AAAAAG/ezwg=")</f>
        <v>#REF!</v>
      </c>
      <c r="J5" t="e">
        <f>AND(#REF!,"AAAAAG/ezwk=")</f>
        <v>#REF!</v>
      </c>
      <c r="K5" t="e">
        <f>AND(#REF!,"AAAAAG/ezwo=")</f>
        <v>#REF!</v>
      </c>
      <c r="L5" t="e">
        <f>AND(#REF!,"AAAAAG/ezws=")</f>
        <v>#REF!</v>
      </c>
      <c r="M5" t="e">
        <f>AND(#REF!,"AAAAAG/ezww=")</f>
        <v>#REF!</v>
      </c>
      <c r="N5" t="e">
        <f>AND(#REF!,"AAAAAG/ezw0=")</f>
        <v>#REF!</v>
      </c>
      <c r="O5" t="e">
        <f>IF(#REF!,"AAAAAG/ezw4=",0)</f>
        <v>#REF!</v>
      </c>
      <c r="P5" t="e">
        <f>AND(#REF!,"AAAAAG/ezw8=")</f>
        <v>#REF!</v>
      </c>
      <c r="Q5" t="e">
        <f>AND(#REF!,"AAAAAG/ezxA=")</f>
        <v>#REF!</v>
      </c>
      <c r="R5" t="e">
        <f>AND(#REF!,"AAAAAG/ezxE=")</f>
        <v>#REF!</v>
      </c>
      <c r="S5" t="e">
        <f>AND(#REF!,"AAAAAG/ezxI=")</f>
        <v>#REF!</v>
      </c>
      <c r="T5" t="e">
        <f>AND(#REF!,"AAAAAG/ezxM=")</f>
        <v>#REF!</v>
      </c>
      <c r="U5" t="e">
        <f>AND(#REF!,"AAAAAG/ezxQ=")</f>
        <v>#REF!</v>
      </c>
      <c r="V5" t="e">
        <f>AND(#REF!,"AAAAAG/ezxU=")</f>
        <v>#REF!</v>
      </c>
      <c r="W5" t="e">
        <f>AND(#REF!,"AAAAAG/ezxY=")</f>
        <v>#REF!</v>
      </c>
      <c r="X5" t="e">
        <f>AND(#REF!,"AAAAAG/ezxc=")</f>
        <v>#REF!</v>
      </c>
      <c r="Y5" t="e">
        <f>AND(#REF!,"AAAAAG/ezxg=")</f>
        <v>#REF!</v>
      </c>
      <c r="Z5" t="e">
        <f>AND(#REF!,"AAAAAG/ezxk=")</f>
        <v>#REF!</v>
      </c>
      <c r="AA5" t="e">
        <f>IF(#REF!,"AAAAAG/ezxo=",0)</f>
        <v>#REF!</v>
      </c>
      <c r="AB5" t="e">
        <f>AND(#REF!,"AAAAAG/ezxs=")</f>
        <v>#REF!</v>
      </c>
      <c r="AC5" t="e">
        <f>AND(#REF!,"AAAAAG/ezxw=")</f>
        <v>#REF!</v>
      </c>
      <c r="AD5" t="e">
        <f>AND(#REF!,"AAAAAG/ezx0=")</f>
        <v>#REF!</v>
      </c>
      <c r="AE5" t="e">
        <f>AND(#REF!,"AAAAAG/ezx4=")</f>
        <v>#REF!</v>
      </c>
      <c r="AF5" t="e">
        <f>AND(#REF!,"AAAAAG/ezx8=")</f>
        <v>#REF!</v>
      </c>
      <c r="AG5" t="e">
        <f>AND(#REF!,"AAAAAG/ezyA=")</f>
        <v>#REF!</v>
      </c>
      <c r="AH5" t="e">
        <f>AND(#REF!,"AAAAAG/ezyE=")</f>
        <v>#REF!</v>
      </c>
      <c r="AI5" t="e">
        <f>AND(#REF!,"AAAAAG/ezyI=")</f>
        <v>#REF!</v>
      </c>
      <c r="AJ5" t="e">
        <f>AND(#REF!,"AAAAAG/ezyM=")</f>
        <v>#REF!</v>
      </c>
      <c r="AK5" t="e">
        <f>AND(#REF!,"AAAAAG/ezyQ=")</f>
        <v>#REF!</v>
      </c>
      <c r="AL5" t="e">
        <f>AND(#REF!,"AAAAAG/ezyU=")</f>
        <v>#REF!</v>
      </c>
      <c r="AM5" t="e">
        <f>IF(#REF!,"AAAAAG/ezyY=",0)</f>
        <v>#REF!</v>
      </c>
      <c r="AN5" t="e">
        <f>AND(#REF!,"AAAAAG/ezyc=")</f>
        <v>#REF!</v>
      </c>
      <c r="AO5" t="e">
        <f>AND(#REF!,"AAAAAG/ezyg=")</f>
        <v>#REF!</v>
      </c>
      <c r="AP5" t="e">
        <f>AND(#REF!,"AAAAAG/ezyk=")</f>
        <v>#REF!</v>
      </c>
      <c r="AQ5" t="e">
        <f>AND(#REF!,"AAAAAG/ezyo=")</f>
        <v>#REF!</v>
      </c>
      <c r="AR5" t="e">
        <f>AND(#REF!,"AAAAAG/ezys=")</f>
        <v>#REF!</v>
      </c>
      <c r="AS5" t="e">
        <f>AND(#REF!,"AAAAAG/ezyw=")</f>
        <v>#REF!</v>
      </c>
      <c r="AT5" t="e">
        <f>AND(#REF!,"AAAAAG/ezy0=")</f>
        <v>#REF!</v>
      </c>
      <c r="AU5" t="e">
        <f>AND(#REF!,"AAAAAG/ezy4=")</f>
        <v>#REF!</v>
      </c>
      <c r="AV5" t="e">
        <f>AND(#REF!,"AAAAAG/ezy8=")</f>
        <v>#REF!</v>
      </c>
      <c r="AW5" t="e">
        <f>AND(#REF!,"AAAAAG/ezzA=")</f>
        <v>#REF!</v>
      </c>
      <c r="AX5" t="e">
        <f>AND(#REF!,"AAAAAG/ezzE=")</f>
        <v>#REF!</v>
      </c>
      <c r="AY5" t="e">
        <f>IF(#REF!,"AAAAAG/ezzI=",0)</f>
        <v>#REF!</v>
      </c>
      <c r="AZ5" t="e">
        <f>AND(#REF!,"AAAAAG/ezzM=")</f>
        <v>#REF!</v>
      </c>
      <c r="BA5" t="e">
        <f>AND(#REF!,"AAAAAG/ezzQ=")</f>
        <v>#REF!</v>
      </c>
      <c r="BB5" t="e">
        <f>AND(#REF!,"AAAAAG/ezzU=")</f>
        <v>#REF!</v>
      </c>
      <c r="BC5" t="e">
        <f>AND(#REF!,"AAAAAG/ezzY=")</f>
        <v>#REF!</v>
      </c>
      <c r="BD5" t="e">
        <f>AND(#REF!,"AAAAAG/ezzc=")</f>
        <v>#REF!</v>
      </c>
      <c r="BE5" t="e">
        <f>AND(#REF!,"AAAAAG/ezzg=")</f>
        <v>#REF!</v>
      </c>
      <c r="BF5" t="e">
        <f>AND(#REF!,"AAAAAG/ezzk=")</f>
        <v>#REF!</v>
      </c>
      <c r="BG5" t="e">
        <f>AND(#REF!,"AAAAAG/ezzo=")</f>
        <v>#REF!</v>
      </c>
      <c r="BH5" t="e">
        <f>AND(#REF!,"AAAAAG/ezzs=")</f>
        <v>#REF!</v>
      </c>
      <c r="BI5" t="e">
        <f>AND(#REF!,"AAAAAG/ezzw=")</f>
        <v>#REF!</v>
      </c>
      <c r="BJ5" t="e">
        <f>AND(#REF!,"AAAAAG/ezz0=")</f>
        <v>#REF!</v>
      </c>
      <c r="BK5" t="e">
        <f>IF(#REF!,"AAAAAG/ezz4=",0)</f>
        <v>#REF!</v>
      </c>
      <c r="BL5" t="e">
        <f>AND(#REF!,"AAAAAG/ezz8=")</f>
        <v>#REF!</v>
      </c>
      <c r="BM5" t="e">
        <f>AND(#REF!,"AAAAAG/ez0A=")</f>
        <v>#REF!</v>
      </c>
      <c r="BN5" t="e">
        <f>AND(#REF!,"AAAAAG/ez0E=")</f>
        <v>#REF!</v>
      </c>
      <c r="BO5" t="e">
        <f>AND(#REF!,"AAAAAG/ez0I=")</f>
        <v>#REF!</v>
      </c>
      <c r="BP5" t="e">
        <f>AND(#REF!,"AAAAAG/ez0M=")</f>
        <v>#REF!</v>
      </c>
      <c r="BQ5" t="e">
        <f>AND(#REF!,"AAAAAG/ez0Q=")</f>
        <v>#REF!</v>
      </c>
      <c r="BR5" t="e">
        <f>AND(#REF!,"AAAAAG/ez0U=")</f>
        <v>#REF!</v>
      </c>
      <c r="BS5" t="e">
        <f>AND(#REF!,"AAAAAG/ez0Y=")</f>
        <v>#REF!</v>
      </c>
      <c r="BT5" t="e">
        <f>AND(#REF!,"AAAAAG/ez0c=")</f>
        <v>#REF!</v>
      </c>
      <c r="BU5" t="e">
        <f>AND(#REF!,"AAAAAG/ez0g=")</f>
        <v>#REF!</v>
      </c>
      <c r="BV5" t="e">
        <f>AND(#REF!,"AAAAAG/ez0k=")</f>
        <v>#REF!</v>
      </c>
      <c r="BW5" t="e">
        <f>IF(#REF!,"AAAAAG/ez0o=",0)</f>
        <v>#REF!</v>
      </c>
      <c r="BX5" t="e">
        <f>AND(#REF!,"AAAAAG/ez0s=")</f>
        <v>#REF!</v>
      </c>
      <c r="BY5" t="e">
        <f>AND(#REF!,"AAAAAG/ez0w=")</f>
        <v>#REF!</v>
      </c>
      <c r="BZ5" t="e">
        <f>AND(#REF!,"AAAAAG/ez00=")</f>
        <v>#REF!</v>
      </c>
      <c r="CA5" t="e">
        <f>AND(#REF!,"AAAAAG/ez04=")</f>
        <v>#REF!</v>
      </c>
      <c r="CB5" t="e">
        <f>AND(#REF!,"AAAAAG/ez08=")</f>
        <v>#REF!</v>
      </c>
      <c r="CC5" t="e">
        <f>AND(#REF!,"AAAAAG/ez1A=")</f>
        <v>#REF!</v>
      </c>
      <c r="CD5" t="e">
        <f>AND(#REF!,"AAAAAG/ez1E=")</f>
        <v>#REF!</v>
      </c>
      <c r="CE5" t="e">
        <f>AND(#REF!,"AAAAAG/ez1I=")</f>
        <v>#REF!</v>
      </c>
      <c r="CF5" t="e">
        <f>AND(#REF!,"AAAAAG/ez1M=")</f>
        <v>#REF!</v>
      </c>
      <c r="CG5" t="e">
        <f>AND(#REF!,"AAAAAG/ez1Q=")</f>
        <v>#REF!</v>
      </c>
      <c r="CH5" t="e">
        <f>AND(#REF!,"AAAAAG/ez1U=")</f>
        <v>#REF!</v>
      </c>
      <c r="CI5" t="e">
        <f>IF(#REF!,"AAAAAG/ez1Y=",0)</f>
        <v>#REF!</v>
      </c>
      <c r="CJ5" t="e">
        <f>AND(#REF!,"AAAAAG/ez1c=")</f>
        <v>#REF!</v>
      </c>
      <c r="CK5" t="e">
        <f>AND(#REF!,"AAAAAG/ez1g=")</f>
        <v>#REF!</v>
      </c>
      <c r="CL5" t="e">
        <f>AND(#REF!,"AAAAAG/ez1k=")</f>
        <v>#REF!</v>
      </c>
      <c r="CM5" t="e">
        <f>AND(#REF!,"AAAAAG/ez1o=")</f>
        <v>#REF!</v>
      </c>
      <c r="CN5" t="e">
        <f>AND(#REF!,"AAAAAG/ez1s=")</f>
        <v>#REF!</v>
      </c>
      <c r="CO5" t="e">
        <f>AND(#REF!,"AAAAAG/ez1w=")</f>
        <v>#REF!</v>
      </c>
      <c r="CP5" t="e">
        <f>AND(#REF!,"AAAAAG/ez10=")</f>
        <v>#REF!</v>
      </c>
      <c r="CQ5" t="e">
        <f>AND(#REF!,"AAAAAG/ez14=")</f>
        <v>#REF!</v>
      </c>
      <c r="CR5" t="e">
        <f>AND(#REF!,"AAAAAG/ez18=")</f>
        <v>#REF!</v>
      </c>
      <c r="CS5" t="e">
        <f>AND(#REF!,"AAAAAG/ez2A=")</f>
        <v>#REF!</v>
      </c>
      <c r="CT5" t="e">
        <f>AND(#REF!,"AAAAAG/ez2E=")</f>
        <v>#REF!</v>
      </c>
      <c r="CU5" t="e">
        <f>IF(#REF!,"AAAAAG/ez2I=",0)</f>
        <v>#REF!</v>
      </c>
      <c r="CV5" t="e">
        <f>AND(#REF!,"AAAAAG/ez2M=")</f>
        <v>#REF!</v>
      </c>
      <c r="CW5" t="e">
        <f>AND(#REF!,"AAAAAG/ez2Q=")</f>
        <v>#REF!</v>
      </c>
      <c r="CX5" t="e">
        <f>AND(#REF!,"AAAAAG/ez2U=")</f>
        <v>#REF!</v>
      </c>
      <c r="CY5" t="e">
        <f>AND(#REF!,"AAAAAG/ez2Y=")</f>
        <v>#REF!</v>
      </c>
      <c r="CZ5" t="e">
        <f>AND(#REF!,"AAAAAG/ez2c=")</f>
        <v>#REF!</v>
      </c>
      <c r="DA5" t="e">
        <f>AND(#REF!,"AAAAAG/ez2g=")</f>
        <v>#REF!</v>
      </c>
      <c r="DB5" t="e">
        <f>AND(#REF!,"AAAAAG/ez2k=")</f>
        <v>#REF!</v>
      </c>
      <c r="DC5" t="e">
        <f>AND(#REF!,"AAAAAG/ez2o=")</f>
        <v>#REF!</v>
      </c>
      <c r="DD5" t="e">
        <f>AND(#REF!,"AAAAAG/ez2s=")</f>
        <v>#REF!</v>
      </c>
      <c r="DE5" t="e">
        <f>AND(#REF!,"AAAAAG/ez2w=")</f>
        <v>#REF!</v>
      </c>
      <c r="DF5" t="e">
        <f>AND(#REF!,"AAAAAG/ez20=")</f>
        <v>#REF!</v>
      </c>
      <c r="DG5" t="e">
        <f>IF(#REF!,"AAAAAG/ez24=",0)</f>
        <v>#REF!</v>
      </c>
      <c r="DH5" t="e">
        <f>AND(#REF!,"AAAAAG/ez28=")</f>
        <v>#REF!</v>
      </c>
      <c r="DI5" t="e">
        <f>AND(#REF!,"AAAAAG/ez3A=")</f>
        <v>#REF!</v>
      </c>
      <c r="DJ5" t="e">
        <f>AND(#REF!,"AAAAAG/ez3E=")</f>
        <v>#REF!</v>
      </c>
      <c r="DK5" t="e">
        <f>AND(#REF!,"AAAAAG/ez3I=")</f>
        <v>#REF!</v>
      </c>
      <c r="DL5" t="e">
        <f>AND(#REF!,"AAAAAG/ez3M=")</f>
        <v>#REF!</v>
      </c>
      <c r="DM5" t="e">
        <f>AND(#REF!,"AAAAAG/ez3Q=")</f>
        <v>#REF!</v>
      </c>
      <c r="DN5" t="e">
        <f>AND(#REF!,"AAAAAG/ez3U=")</f>
        <v>#REF!</v>
      </c>
      <c r="DO5" t="e">
        <f>AND(#REF!,"AAAAAG/ez3Y=")</f>
        <v>#REF!</v>
      </c>
      <c r="DP5" t="e">
        <f>AND(#REF!,"AAAAAG/ez3c=")</f>
        <v>#REF!</v>
      </c>
      <c r="DQ5" t="e">
        <f>AND(#REF!,"AAAAAG/ez3g=")</f>
        <v>#REF!</v>
      </c>
      <c r="DR5" t="e">
        <f>AND(#REF!,"AAAAAG/ez3k=")</f>
        <v>#REF!</v>
      </c>
      <c r="DS5" t="e">
        <f>IF(#REF!,"AAAAAG/ez3o=",0)</f>
        <v>#REF!</v>
      </c>
      <c r="DT5" t="e">
        <f>AND(#REF!,"AAAAAG/ez3s=")</f>
        <v>#REF!</v>
      </c>
      <c r="DU5" t="e">
        <f>AND(#REF!,"AAAAAG/ez3w=")</f>
        <v>#REF!</v>
      </c>
      <c r="DV5" t="e">
        <f>AND(#REF!,"AAAAAG/ez30=")</f>
        <v>#REF!</v>
      </c>
      <c r="DW5" t="e">
        <f>AND(#REF!,"AAAAAG/ez34=")</f>
        <v>#REF!</v>
      </c>
      <c r="DX5" t="e">
        <f>AND(#REF!,"AAAAAG/ez38=")</f>
        <v>#REF!</v>
      </c>
      <c r="DY5" t="e">
        <f>AND(#REF!,"AAAAAG/ez4A=")</f>
        <v>#REF!</v>
      </c>
      <c r="DZ5" t="e">
        <f>AND(#REF!,"AAAAAG/ez4E=")</f>
        <v>#REF!</v>
      </c>
      <c r="EA5" t="e">
        <f>AND(#REF!,"AAAAAG/ez4I=")</f>
        <v>#REF!</v>
      </c>
      <c r="EB5" t="e">
        <f>AND(#REF!,"AAAAAG/ez4M=")</f>
        <v>#REF!</v>
      </c>
      <c r="EC5" t="e">
        <f>AND(#REF!,"AAAAAG/ez4Q=")</f>
        <v>#REF!</v>
      </c>
      <c r="ED5" t="e">
        <f>AND(#REF!,"AAAAAG/ez4U=")</f>
        <v>#REF!</v>
      </c>
      <c r="EE5" t="e">
        <f>IF(#REF!,"AAAAAG/ez4Y=",0)</f>
        <v>#REF!</v>
      </c>
      <c r="EF5" t="e">
        <f>AND(#REF!,"AAAAAG/ez4c=")</f>
        <v>#REF!</v>
      </c>
      <c r="EG5" t="e">
        <f>AND(#REF!,"AAAAAG/ez4g=")</f>
        <v>#REF!</v>
      </c>
      <c r="EH5" t="e">
        <f>AND(#REF!,"AAAAAG/ez4k=")</f>
        <v>#REF!</v>
      </c>
      <c r="EI5" t="e">
        <f>AND(#REF!,"AAAAAG/ez4o=")</f>
        <v>#REF!</v>
      </c>
      <c r="EJ5" t="e">
        <f>AND(#REF!,"AAAAAG/ez4s=")</f>
        <v>#REF!</v>
      </c>
      <c r="EK5" t="e">
        <f>AND(#REF!,"AAAAAG/ez4w=")</f>
        <v>#REF!</v>
      </c>
      <c r="EL5" t="e">
        <f>AND(#REF!,"AAAAAG/ez40=")</f>
        <v>#REF!</v>
      </c>
      <c r="EM5" t="e">
        <f>AND(#REF!,"AAAAAG/ez44=")</f>
        <v>#REF!</v>
      </c>
      <c r="EN5" t="e">
        <f>AND(#REF!,"AAAAAG/ez48=")</f>
        <v>#REF!</v>
      </c>
      <c r="EO5" t="e">
        <f>AND(#REF!,"AAAAAG/ez5A=")</f>
        <v>#REF!</v>
      </c>
      <c r="EP5" t="e">
        <f>AND(#REF!,"AAAAAG/ez5E=")</f>
        <v>#REF!</v>
      </c>
      <c r="EQ5" t="e">
        <f>IF(#REF!,"AAAAAG/ez5I=",0)</f>
        <v>#REF!</v>
      </c>
      <c r="ER5" t="e">
        <f>AND(#REF!,"AAAAAG/ez5M=")</f>
        <v>#REF!</v>
      </c>
      <c r="ES5" t="e">
        <f>AND(#REF!,"AAAAAG/ez5Q=")</f>
        <v>#REF!</v>
      </c>
      <c r="ET5" t="e">
        <f>AND(#REF!,"AAAAAG/ez5U=")</f>
        <v>#REF!</v>
      </c>
      <c r="EU5" t="e">
        <f>AND(#REF!,"AAAAAG/ez5Y=")</f>
        <v>#REF!</v>
      </c>
      <c r="EV5" t="e">
        <f>AND(#REF!,"AAAAAG/ez5c=")</f>
        <v>#REF!</v>
      </c>
      <c r="EW5" t="e">
        <f>AND(#REF!,"AAAAAG/ez5g=")</f>
        <v>#REF!</v>
      </c>
      <c r="EX5" t="e">
        <f>AND(#REF!,"AAAAAG/ez5k=")</f>
        <v>#REF!</v>
      </c>
      <c r="EY5" t="e">
        <f>AND(#REF!,"AAAAAG/ez5o=")</f>
        <v>#REF!</v>
      </c>
      <c r="EZ5" t="e">
        <f>AND(#REF!,"AAAAAG/ez5s=")</f>
        <v>#REF!</v>
      </c>
      <c r="FA5" t="e">
        <f>AND(#REF!,"AAAAAG/ez5w=")</f>
        <v>#REF!</v>
      </c>
      <c r="FB5" t="e">
        <f>AND(#REF!,"AAAAAG/ez50=")</f>
        <v>#REF!</v>
      </c>
      <c r="FC5" t="e">
        <f>IF(#REF!,"AAAAAG/ez54=",0)</f>
        <v>#REF!</v>
      </c>
      <c r="FD5" t="e">
        <f>AND(#REF!,"AAAAAG/ez58=")</f>
        <v>#REF!</v>
      </c>
      <c r="FE5" t="e">
        <f>AND(#REF!,"AAAAAG/ez6A=")</f>
        <v>#REF!</v>
      </c>
      <c r="FF5" t="e">
        <f>AND(#REF!,"AAAAAG/ez6E=")</f>
        <v>#REF!</v>
      </c>
      <c r="FG5" t="e">
        <f>AND(#REF!,"AAAAAG/ez6I=")</f>
        <v>#REF!</v>
      </c>
      <c r="FH5" t="e">
        <f>AND(#REF!,"AAAAAG/ez6M=")</f>
        <v>#REF!</v>
      </c>
      <c r="FI5" t="e">
        <f>AND(#REF!,"AAAAAG/ez6Q=")</f>
        <v>#REF!</v>
      </c>
      <c r="FJ5" t="e">
        <f>AND(#REF!,"AAAAAG/ez6U=")</f>
        <v>#REF!</v>
      </c>
      <c r="FK5" t="e">
        <f>AND(#REF!,"AAAAAG/ez6Y=")</f>
        <v>#REF!</v>
      </c>
      <c r="FL5" t="e">
        <f>AND(#REF!,"AAAAAG/ez6c=")</f>
        <v>#REF!</v>
      </c>
      <c r="FM5" t="e">
        <f>AND(#REF!,"AAAAAG/ez6g=")</f>
        <v>#REF!</v>
      </c>
      <c r="FN5" t="e">
        <f>AND(#REF!,"AAAAAG/ez6k=")</f>
        <v>#REF!</v>
      </c>
      <c r="FO5" t="e">
        <f>IF(#REF!,"AAAAAG/ez6o=",0)</f>
        <v>#REF!</v>
      </c>
      <c r="FP5" t="e">
        <f>AND(#REF!,"AAAAAG/ez6s=")</f>
        <v>#REF!</v>
      </c>
      <c r="FQ5" t="e">
        <f>AND(#REF!,"AAAAAG/ez6w=")</f>
        <v>#REF!</v>
      </c>
      <c r="FR5" t="e">
        <f>AND(#REF!,"AAAAAG/ez60=")</f>
        <v>#REF!</v>
      </c>
      <c r="FS5" t="e">
        <f>AND(#REF!,"AAAAAG/ez64=")</f>
        <v>#REF!</v>
      </c>
      <c r="FT5" t="e">
        <f>AND(#REF!,"AAAAAG/ez68=")</f>
        <v>#REF!</v>
      </c>
      <c r="FU5" t="e">
        <f>AND(#REF!,"AAAAAG/ez7A=")</f>
        <v>#REF!</v>
      </c>
      <c r="FV5" t="e">
        <f>AND(#REF!,"AAAAAG/ez7E=")</f>
        <v>#REF!</v>
      </c>
      <c r="FW5" t="e">
        <f>AND(#REF!,"AAAAAG/ez7I=")</f>
        <v>#REF!</v>
      </c>
      <c r="FX5" t="e">
        <f>AND(#REF!,"AAAAAG/ez7M=")</f>
        <v>#REF!</v>
      </c>
      <c r="FY5" t="e">
        <f>AND(#REF!,"AAAAAG/ez7Q=")</f>
        <v>#REF!</v>
      </c>
      <c r="FZ5" t="e">
        <f>AND(#REF!,"AAAAAG/ez7U=")</f>
        <v>#REF!</v>
      </c>
      <c r="GA5" t="e">
        <f>IF(#REF!,"AAAAAG/ez7Y=",0)</f>
        <v>#REF!</v>
      </c>
      <c r="GB5" t="e">
        <f>AND(#REF!,"AAAAAG/ez7c=")</f>
        <v>#REF!</v>
      </c>
      <c r="GC5" t="e">
        <f>AND(#REF!,"AAAAAG/ez7g=")</f>
        <v>#REF!</v>
      </c>
      <c r="GD5" t="e">
        <f>AND(#REF!,"AAAAAG/ez7k=")</f>
        <v>#REF!</v>
      </c>
      <c r="GE5" t="e">
        <f>AND(#REF!,"AAAAAG/ez7o=")</f>
        <v>#REF!</v>
      </c>
      <c r="GF5" t="e">
        <f>AND(#REF!,"AAAAAG/ez7s=")</f>
        <v>#REF!</v>
      </c>
      <c r="GG5" t="e">
        <f>AND(#REF!,"AAAAAG/ez7w=")</f>
        <v>#REF!</v>
      </c>
      <c r="GH5" t="e">
        <f>AND(#REF!,"AAAAAG/ez70=")</f>
        <v>#REF!</v>
      </c>
      <c r="GI5" t="e">
        <f>AND(#REF!,"AAAAAG/ez74=")</f>
        <v>#REF!</v>
      </c>
      <c r="GJ5" t="e">
        <f>AND(#REF!,"AAAAAG/ez78=")</f>
        <v>#REF!</v>
      </c>
      <c r="GK5" t="e">
        <f>AND(#REF!,"AAAAAG/ez8A=")</f>
        <v>#REF!</v>
      </c>
      <c r="GL5" t="e">
        <f>AND(#REF!,"AAAAAG/ez8E=")</f>
        <v>#REF!</v>
      </c>
      <c r="GM5" t="e">
        <f>IF(#REF!,"AAAAAG/ez8I=",0)</f>
        <v>#REF!</v>
      </c>
      <c r="GN5" t="e">
        <f>AND(#REF!,"AAAAAG/ez8M=")</f>
        <v>#REF!</v>
      </c>
      <c r="GO5" t="e">
        <f>AND(#REF!,"AAAAAG/ez8Q=")</f>
        <v>#REF!</v>
      </c>
      <c r="GP5" t="e">
        <f>AND(#REF!,"AAAAAG/ez8U=")</f>
        <v>#REF!</v>
      </c>
      <c r="GQ5" t="e">
        <f>AND(#REF!,"AAAAAG/ez8Y=")</f>
        <v>#REF!</v>
      </c>
      <c r="GR5" t="e">
        <f>AND(#REF!,"AAAAAG/ez8c=")</f>
        <v>#REF!</v>
      </c>
      <c r="GS5" t="e">
        <f>AND(#REF!,"AAAAAG/ez8g=")</f>
        <v>#REF!</v>
      </c>
      <c r="GT5" t="e">
        <f>AND(#REF!,"AAAAAG/ez8k=")</f>
        <v>#REF!</v>
      </c>
      <c r="GU5" t="e">
        <f>AND(#REF!,"AAAAAG/ez8o=")</f>
        <v>#REF!</v>
      </c>
      <c r="GV5" t="e">
        <f>AND(#REF!,"AAAAAG/ez8s=")</f>
        <v>#REF!</v>
      </c>
      <c r="GW5" t="e">
        <f>AND(#REF!,"AAAAAG/ez8w=")</f>
        <v>#REF!</v>
      </c>
      <c r="GX5" t="e">
        <f>AND(#REF!,"AAAAAG/ez80=")</f>
        <v>#REF!</v>
      </c>
      <c r="GY5" t="e">
        <f>IF(#REF!,"AAAAAG/ez84=",0)</f>
        <v>#REF!</v>
      </c>
      <c r="GZ5" t="e">
        <f>AND(#REF!,"AAAAAG/ez88=")</f>
        <v>#REF!</v>
      </c>
      <c r="HA5" t="e">
        <f>AND(#REF!,"AAAAAG/ez9A=")</f>
        <v>#REF!</v>
      </c>
      <c r="HB5" t="e">
        <f>AND(#REF!,"AAAAAG/ez9E=")</f>
        <v>#REF!</v>
      </c>
      <c r="HC5" t="e">
        <f>AND(#REF!,"AAAAAG/ez9I=")</f>
        <v>#REF!</v>
      </c>
      <c r="HD5" t="e">
        <f>AND(#REF!,"AAAAAG/ez9M=")</f>
        <v>#REF!</v>
      </c>
      <c r="HE5" t="e">
        <f>AND(#REF!,"AAAAAG/ez9Q=")</f>
        <v>#REF!</v>
      </c>
      <c r="HF5" t="e">
        <f>AND(#REF!,"AAAAAG/ez9U=")</f>
        <v>#REF!</v>
      </c>
      <c r="HG5" t="e">
        <f>AND(#REF!,"AAAAAG/ez9Y=")</f>
        <v>#REF!</v>
      </c>
      <c r="HH5" t="e">
        <f>AND(#REF!,"AAAAAG/ez9c=")</f>
        <v>#REF!</v>
      </c>
      <c r="HI5" t="e">
        <f>AND(#REF!,"AAAAAG/ez9g=")</f>
        <v>#REF!</v>
      </c>
      <c r="HJ5" t="e">
        <f>AND(#REF!,"AAAAAG/ez9k=")</f>
        <v>#REF!</v>
      </c>
      <c r="HK5" t="e">
        <f>IF(#REF!,"AAAAAG/ez9o=",0)</f>
        <v>#REF!</v>
      </c>
      <c r="HL5" t="e">
        <f>AND(#REF!,"AAAAAG/ez9s=")</f>
        <v>#REF!</v>
      </c>
      <c r="HM5" t="e">
        <f>AND(#REF!,"AAAAAG/ez9w=")</f>
        <v>#REF!</v>
      </c>
      <c r="HN5" t="e">
        <f>AND(#REF!,"AAAAAG/ez90=")</f>
        <v>#REF!</v>
      </c>
      <c r="HO5" t="e">
        <f>AND(#REF!,"AAAAAG/ez94=")</f>
        <v>#REF!</v>
      </c>
      <c r="HP5" t="e">
        <f>AND(#REF!,"AAAAAG/ez98=")</f>
        <v>#REF!</v>
      </c>
      <c r="HQ5" t="e">
        <f>AND(#REF!,"AAAAAG/ez+A=")</f>
        <v>#REF!</v>
      </c>
      <c r="HR5" t="e">
        <f>AND(#REF!,"AAAAAG/ez+E=")</f>
        <v>#REF!</v>
      </c>
      <c r="HS5" t="e">
        <f>AND(#REF!,"AAAAAG/ez+I=")</f>
        <v>#REF!</v>
      </c>
      <c r="HT5" t="e">
        <f>AND(#REF!,"AAAAAG/ez+M=")</f>
        <v>#REF!</v>
      </c>
      <c r="HU5" t="e">
        <f>AND(#REF!,"AAAAAG/ez+Q=")</f>
        <v>#REF!</v>
      </c>
      <c r="HV5" t="e">
        <f>AND(#REF!,"AAAAAG/ez+U=")</f>
        <v>#REF!</v>
      </c>
      <c r="HW5" t="e">
        <f>IF(#REF!,"AAAAAG/ez+Y=",0)</f>
        <v>#REF!</v>
      </c>
      <c r="HX5" t="e">
        <f>AND(#REF!,"AAAAAG/ez+c=")</f>
        <v>#REF!</v>
      </c>
      <c r="HY5" t="e">
        <f>AND(#REF!,"AAAAAG/ez+g=")</f>
        <v>#REF!</v>
      </c>
      <c r="HZ5" t="e">
        <f>AND(#REF!,"AAAAAG/ez+k=")</f>
        <v>#REF!</v>
      </c>
      <c r="IA5" t="e">
        <f>AND(#REF!,"AAAAAG/ez+o=")</f>
        <v>#REF!</v>
      </c>
      <c r="IB5" t="e">
        <f>AND(#REF!,"AAAAAG/ez+s=")</f>
        <v>#REF!</v>
      </c>
      <c r="IC5" t="e">
        <f>AND(#REF!,"AAAAAG/ez+w=")</f>
        <v>#REF!</v>
      </c>
      <c r="ID5" t="e">
        <f>AND(#REF!,"AAAAAG/ez+0=")</f>
        <v>#REF!</v>
      </c>
      <c r="IE5" t="e">
        <f>AND(#REF!,"AAAAAG/ez+4=")</f>
        <v>#REF!</v>
      </c>
      <c r="IF5" t="e">
        <f>AND(#REF!,"AAAAAG/ez+8=")</f>
        <v>#REF!</v>
      </c>
      <c r="IG5" t="e">
        <f>AND(#REF!,"AAAAAG/ez/A=")</f>
        <v>#REF!</v>
      </c>
      <c r="IH5" t="e">
        <f>AND(#REF!,"AAAAAG/ez/E=")</f>
        <v>#REF!</v>
      </c>
      <c r="II5" t="e">
        <f>IF(#REF!,"AAAAAG/ez/I=",0)</f>
        <v>#REF!</v>
      </c>
      <c r="IJ5" t="e">
        <f>AND(#REF!,"AAAAAG/ez/M=")</f>
        <v>#REF!</v>
      </c>
      <c r="IK5" t="e">
        <f>AND(#REF!,"AAAAAG/ez/Q=")</f>
        <v>#REF!</v>
      </c>
      <c r="IL5" t="e">
        <f>AND(#REF!,"AAAAAG/ez/U=")</f>
        <v>#REF!</v>
      </c>
      <c r="IM5" t="e">
        <f>AND(#REF!,"AAAAAG/ez/Y=")</f>
        <v>#REF!</v>
      </c>
      <c r="IN5" t="e">
        <f>AND(#REF!,"AAAAAG/ez/c=")</f>
        <v>#REF!</v>
      </c>
      <c r="IO5" t="e">
        <f>AND(#REF!,"AAAAAG/ez/g=")</f>
        <v>#REF!</v>
      </c>
      <c r="IP5" t="e">
        <f>AND(#REF!,"AAAAAG/ez/k=")</f>
        <v>#REF!</v>
      </c>
      <c r="IQ5" t="e">
        <f>AND(#REF!,"AAAAAG/ez/o=")</f>
        <v>#REF!</v>
      </c>
      <c r="IR5" t="e">
        <f>AND(#REF!,"AAAAAG/ez/s=")</f>
        <v>#REF!</v>
      </c>
      <c r="IS5" t="e">
        <f>AND(#REF!,"AAAAAG/ez/w=")</f>
        <v>#REF!</v>
      </c>
      <c r="IT5" t="e">
        <f>AND(#REF!,"AAAAAG/ez/0=")</f>
        <v>#REF!</v>
      </c>
      <c r="IU5" t="e">
        <f>IF(#REF!,"AAAAAG/ez/4=",0)</f>
        <v>#REF!</v>
      </c>
      <c r="IV5" t="e">
        <f>AND(#REF!,"AAAAAG/ez/8=")</f>
        <v>#REF!</v>
      </c>
    </row>
    <row r="6" spans="1:256" x14ac:dyDescent="0.3">
      <c r="A6" t="e">
        <f>AND(#REF!,"AAAAAGf+9wA=")</f>
        <v>#REF!</v>
      </c>
      <c r="B6" t="e">
        <f>AND(#REF!,"AAAAAGf+9wE=")</f>
        <v>#REF!</v>
      </c>
      <c r="C6" t="e">
        <f>AND(#REF!,"AAAAAGf+9wI=")</f>
        <v>#REF!</v>
      </c>
      <c r="D6" t="e">
        <f>AND(#REF!,"AAAAAGf+9wM=")</f>
        <v>#REF!</v>
      </c>
      <c r="E6" t="e">
        <f>AND(#REF!,"AAAAAGf+9wQ=")</f>
        <v>#REF!</v>
      </c>
      <c r="F6" t="e">
        <f>AND(#REF!,"AAAAAGf+9wU=")</f>
        <v>#REF!</v>
      </c>
      <c r="G6" t="e">
        <f>AND(#REF!,"AAAAAGf+9wY=")</f>
        <v>#REF!</v>
      </c>
      <c r="H6" t="e">
        <f>AND(#REF!,"AAAAAGf+9wc=")</f>
        <v>#REF!</v>
      </c>
      <c r="I6" t="e">
        <f>AND(#REF!,"AAAAAGf+9wg=")</f>
        <v>#REF!</v>
      </c>
      <c r="J6" t="e">
        <f>AND(#REF!,"AAAAAGf+9wk=")</f>
        <v>#REF!</v>
      </c>
      <c r="K6" t="e">
        <f>IF(#REF!,"AAAAAGf+9wo=",0)</f>
        <v>#REF!</v>
      </c>
      <c r="L6" t="e">
        <f>AND(#REF!,"AAAAAGf+9ws=")</f>
        <v>#REF!</v>
      </c>
      <c r="M6" t="e">
        <f>AND(#REF!,"AAAAAGf+9ww=")</f>
        <v>#REF!</v>
      </c>
      <c r="N6" t="e">
        <f>AND(#REF!,"AAAAAGf+9w0=")</f>
        <v>#REF!</v>
      </c>
      <c r="O6" t="e">
        <f>AND(#REF!,"AAAAAGf+9w4=")</f>
        <v>#REF!</v>
      </c>
      <c r="P6" t="e">
        <f>AND(#REF!,"AAAAAGf+9w8=")</f>
        <v>#REF!</v>
      </c>
      <c r="Q6" t="e">
        <f>AND(#REF!,"AAAAAGf+9xA=")</f>
        <v>#REF!</v>
      </c>
      <c r="R6" t="e">
        <f>AND(#REF!,"AAAAAGf+9xE=")</f>
        <v>#REF!</v>
      </c>
      <c r="S6" t="e">
        <f>AND(#REF!,"AAAAAGf+9xI=")</f>
        <v>#REF!</v>
      </c>
      <c r="T6" t="e">
        <f>AND(#REF!,"AAAAAGf+9xM=")</f>
        <v>#REF!</v>
      </c>
      <c r="U6" t="e">
        <f>AND(#REF!,"AAAAAGf+9xQ=")</f>
        <v>#REF!</v>
      </c>
      <c r="V6" t="e">
        <f>AND(#REF!,"AAAAAGf+9xU=")</f>
        <v>#REF!</v>
      </c>
      <c r="W6" t="e">
        <f>IF(#REF!,"AAAAAGf+9xY=",0)</f>
        <v>#REF!</v>
      </c>
      <c r="X6" t="e">
        <f>AND(#REF!,"AAAAAGf+9xc=")</f>
        <v>#REF!</v>
      </c>
      <c r="Y6" t="e">
        <f>AND(#REF!,"AAAAAGf+9xg=")</f>
        <v>#REF!</v>
      </c>
      <c r="Z6" t="e">
        <f>AND(#REF!,"AAAAAGf+9xk=")</f>
        <v>#REF!</v>
      </c>
      <c r="AA6" t="e">
        <f>AND(#REF!,"AAAAAGf+9xo=")</f>
        <v>#REF!</v>
      </c>
      <c r="AB6" t="e">
        <f>AND(#REF!,"AAAAAGf+9xs=")</f>
        <v>#REF!</v>
      </c>
      <c r="AC6" t="e">
        <f>AND(#REF!,"AAAAAGf+9xw=")</f>
        <v>#REF!</v>
      </c>
      <c r="AD6" t="e">
        <f>AND(#REF!,"AAAAAGf+9x0=")</f>
        <v>#REF!</v>
      </c>
      <c r="AE6" t="e">
        <f>AND(#REF!,"AAAAAGf+9x4=")</f>
        <v>#REF!</v>
      </c>
      <c r="AF6" t="e">
        <f>AND(#REF!,"AAAAAGf+9x8=")</f>
        <v>#REF!</v>
      </c>
      <c r="AG6" t="e">
        <f>AND(#REF!,"AAAAAGf+9yA=")</f>
        <v>#REF!</v>
      </c>
      <c r="AH6" t="e">
        <f>AND(#REF!,"AAAAAGf+9yE=")</f>
        <v>#REF!</v>
      </c>
      <c r="AI6" t="e">
        <f>IF(#REF!,"AAAAAGf+9yI=",0)</f>
        <v>#REF!</v>
      </c>
      <c r="AJ6" t="e">
        <f>AND(#REF!,"AAAAAGf+9yM=")</f>
        <v>#REF!</v>
      </c>
      <c r="AK6" t="e">
        <f>AND(#REF!,"AAAAAGf+9yQ=")</f>
        <v>#REF!</v>
      </c>
      <c r="AL6" t="e">
        <f>AND(#REF!,"AAAAAGf+9yU=")</f>
        <v>#REF!</v>
      </c>
      <c r="AM6" t="e">
        <f>AND(#REF!,"AAAAAGf+9yY=")</f>
        <v>#REF!</v>
      </c>
      <c r="AN6" t="e">
        <f>AND(#REF!,"AAAAAGf+9yc=")</f>
        <v>#REF!</v>
      </c>
      <c r="AO6" t="e">
        <f>AND(#REF!,"AAAAAGf+9yg=")</f>
        <v>#REF!</v>
      </c>
      <c r="AP6" t="e">
        <f>AND(#REF!,"AAAAAGf+9yk=")</f>
        <v>#REF!</v>
      </c>
      <c r="AQ6" t="e">
        <f>AND(#REF!,"AAAAAGf+9yo=")</f>
        <v>#REF!</v>
      </c>
      <c r="AR6" t="e">
        <f>AND(#REF!,"AAAAAGf+9ys=")</f>
        <v>#REF!</v>
      </c>
      <c r="AS6" t="e">
        <f>AND(#REF!,"AAAAAGf+9yw=")</f>
        <v>#REF!</v>
      </c>
      <c r="AT6" t="e">
        <f>AND(#REF!,"AAAAAGf+9y0=")</f>
        <v>#REF!</v>
      </c>
      <c r="AU6" t="e">
        <f>IF(#REF!,"AAAAAGf+9y4=",0)</f>
        <v>#REF!</v>
      </c>
      <c r="AV6" t="e">
        <f>AND(#REF!,"AAAAAGf+9y8=")</f>
        <v>#REF!</v>
      </c>
      <c r="AW6" t="e">
        <f>AND(#REF!,"AAAAAGf+9zA=")</f>
        <v>#REF!</v>
      </c>
      <c r="AX6" t="e">
        <f>AND(#REF!,"AAAAAGf+9zE=")</f>
        <v>#REF!</v>
      </c>
      <c r="AY6" t="e">
        <f>AND(#REF!,"AAAAAGf+9zI=")</f>
        <v>#REF!</v>
      </c>
      <c r="AZ6" t="e">
        <f>AND(#REF!,"AAAAAGf+9zM=")</f>
        <v>#REF!</v>
      </c>
      <c r="BA6" t="e">
        <f>AND(#REF!,"AAAAAGf+9zQ=")</f>
        <v>#REF!</v>
      </c>
      <c r="BB6" t="e">
        <f>AND(#REF!,"AAAAAGf+9zU=")</f>
        <v>#REF!</v>
      </c>
      <c r="BC6" t="e">
        <f>AND(#REF!,"AAAAAGf+9zY=")</f>
        <v>#REF!</v>
      </c>
      <c r="BD6" t="e">
        <f>AND(#REF!,"AAAAAGf+9zc=")</f>
        <v>#REF!</v>
      </c>
      <c r="BE6" t="e">
        <f>AND(#REF!,"AAAAAGf+9zg=")</f>
        <v>#REF!</v>
      </c>
      <c r="BF6" t="e">
        <f>AND(#REF!,"AAAAAGf+9zk=")</f>
        <v>#REF!</v>
      </c>
      <c r="BG6" t="e">
        <f>IF(#REF!,"AAAAAGf+9zo=",0)</f>
        <v>#REF!</v>
      </c>
      <c r="BH6" t="e">
        <f>AND(#REF!,"AAAAAGf+9zs=")</f>
        <v>#REF!</v>
      </c>
      <c r="BI6" t="e">
        <f>AND(#REF!,"AAAAAGf+9zw=")</f>
        <v>#REF!</v>
      </c>
      <c r="BJ6" t="e">
        <f>AND(#REF!,"AAAAAGf+9z0=")</f>
        <v>#REF!</v>
      </c>
      <c r="BK6" t="e">
        <f>AND(#REF!,"AAAAAGf+9z4=")</f>
        <v>#REF!</v>
      </c>
      <c r="BL6" t="e">
        <f>AND(#REF!,"AAAAAGf+9z8=")</f>
        <v>#REF!</v>
      </c>
      <c r="BM6" t="e">
        <f>AND(#REF!,"AAAAAGf+90A=")</f>
        <v>#REF!</v>
      </c>
      <c r="BN6" t="e">
        <f>AND(#REF!,"AAAAAGf+90E=")</f>
        <v>#REF!</v>
      </c>
      <c r="BO6" t="e">
        <f>AND(#REF!,"AAAAAGf+90I=")</f>
        <v>#REF!</v>
      </c>
      <c r="BP6" t="e">
        <f>AND(#REF!,"AAAAAGf+90M=")</f>
        <v>#REF!</v>
      </c>
      <c r="BQ6" t="e">
        <f>AND(#REF!,"AAAAAGf+90Q=")</f>
        <v>#REF!</v>
      </c>
      <c r="BR6" t="e">
        <f>AND(#REF!,"AAAAAGf+90U=")</f>
        <v>#REF!</v>
      </c>
      <c r="BS6" t="e">
        <f>IF(#REF!,"AAAAAGf+90Y=",0)</f>
        <v>#REF!</v>
      </c>
      <c r="BT6" t="e">
        <f>AND(#REF!,"AAAAAGf+90c=")</f>
        <v>#REF!</v>
      </c>
      <c r="BU6" t="e">
        <f>AND(#REF!,"AAAAAGf+90g=")</f>
        <v>#REF!</v>
      </c>
      <c r="BV6" t="e">
        <f>AND(#REF!,"AAAAAGf+90k=")</f>
        <v>#REF!</v>
      </c>
      <c r="BW6" t="e">
        <f>AND(#REF!,"AAAAAGf+90o=")</f>
        <v>#REF!</v>
      </c>
      <c r="BX6" t="e">
        <f>AND(#REF!,"AAAAAGf+90s=")</f>
        <v>#REF!</v>
      </c>
      <c r="BY6" t="e">
        <f>AND(#REF!,"AAAAAGf+90w=")</f>
        <v>#REF!</v>
      </c>
      <c r="BZ6" t="e">
        <f>AND(#REF!,"AAAAAGf+900=")</f>
        <v>#REF!</v>
      </c>
      <c r="CA6" t="e">
        <f>AND(#REF!,"AAAAAGf+904=")</f>
        <v>#REF!</v>
      </c>
      <c r="CB6" t="e">
        <f>AND(#REF!,"AAAAAGf+908=")</f>
        <v>#REF!</v>
      </c>
      <c r="CC6" t="e">
        <f>AND(#REF!,"AAAAAGf+91A=")</f>
        <v>#REF!</v>
      </c>
      <c r="CD6" t="e">
        <f>AND(#REF!,"AAAAAGf+91E=")</f>
        <v>#REF!</v>
      </c>
      <c r="CE6" t="e">
        <f>IF(#REF!,"AAAAAGf+91I=",0)</f>
        <v>#REF!</v>
      </c>
      <c r="CF6" t="e">
        <f>AND(#REF!,"AAAAAGf+91M=")</f>
        <v>#REF!</v>
      </c>
      <c r="CG6" t="e">
        <f>AND(#REF!,"AAAAAGf+91Q=")</f>
        <v>#REF!</v>
      </c>
      <c r="CH6" t="e">
        <f>AND(#REF!,"AAAAAGf+91U=")</f>
        <v>#REF!</v>
      </c>
      <c r="CI6" t="e">
        <f>AND(#REF!,"AAAAAGf+91Y=")</f>
        <v>#REF!</v>
      </c>
      <c r="CJ6" t="e">
        <f>AND(#REF!,"AAAAAGf+91c=")</f>
        <v>#REF!</v>
      </c>
      <c r="CK6" t="e">
        <f>AND(#REF!,"AAAAAGf+91g=")</f>
        <v>#REF!</v>
      </c>
      <c r="CL6" t="e">
        <f>AND(#REF!,"AAAAAGf+91k=")</f>
        <v>#REF!</v>
      </c>
      <c r="CM6" t="e">
        <f>AND(#REF!,"AAAAAGf+91o=")</f>
        <v>#REF!</v>
      </c>
      <c r="CN6" t="e">
        <f>AND(#REF!,"AAAAAGf+91s=")</f>
        <v>#REF!</v>
      </c>
      <c r="CO6" t="e">
        <f>AND(#REF!,"AAAAAGf+91w=")</f>
        <v>#REF!</v>
      </c>
      <c r="CP6" t="e">
        <f>AND(#REF!,"AAAAAGf+910=")</f>
        <v>#REF!</v>
      </c>
      <c r="CQ6" t="e">
        <f>IF(#REF!,"AAAAAGf+914=",0)</f>
        <v>#REF!</v>
      </c>
      <c r="CR6" t="e">
        <f>AND(#REF!,"AAAAAGf+918=")</f>
        <v>#REF!</v>
      </c>
      <c r="CS6" t="e">
        <f>AND(#REF!,"AAAAAGf+92A=")</f>
        <v>#REF!</v>
      </c>
      <c r="CT6" t="e">
        <f>AND(#REF!,"AAAAAGf+92E=")</f>
        <v>#REF!</v>
      </c>
      <c r="CU6" t="e">
        <f>AND(#REF!,"AAAAAGf+92I=")</f>
        <v>#REF!</v>
      </c>
      <c r="CV6" t="e">
        <f>AND(#REF!,"AAAAAGf+92M=")</f>
        <v>#REF!</v>
      </c>
      <c r="CW6" t="e">
        <f>AND(#REF!,"AAAAAGf+92Q=")</f>
        <v>#REF!</v>
      </c>
      <c r="CX6" t="e">
        <f>AND(#REF!,"AAAAAGf+92U=")</f>
        <v>#REF!</v>
      </c>
      <c r="CY6" t="e">
        <f>AND(#REF!,"AAAAAGf+92Y=")</f>
        <v>#REF!</v>
      </c>
      <c r="CZ6" t="e">
        <f>AND(#REF!,"AAAAAGf+92c=")</f>
        <v>#REF!</v>
      </c>
      <c r="DA6" t="e">
        <f>AND(#REF!,"AAAAAGf+92g=")</f>
        <v>#REF!</v>
      </c>
      <c r="DB6" t="e">
        <f>AND(#REF!,"AAAAAGf+92k=")</f>
        <v>#REF!</v>
      </c>
      <c r="DC6" t="e">
        <f>IF(#REF!,"AAAAAGf+92o=",0)</f>
        <v>#REF!</v>
      </c>
      <c r="DD6" t="e">
        <f>AND(#REF!,"AAAAAGf+92s=")</f>
        <v>#REF!</v>
      </c>
      <c r="DE6" t="e">
        <f>AND(#REF!,"AAAAAGf+92w=")</f>
        <v>#REF!</v>
      </c>
      <c r="DF6" t="e">
        <f>AND(#REF!,"AAAAAGf+920=")</f>
        <v>#REF!</v>
      </c>
      <c r="DG6" t="e">
        <f>AND(#REF!,"AAAAAGf+924=")</f>
        <v>#REF!</v>
      </c>
      <c r="DH6" t="e">
        <f>AND(#REF!,"AAAAAGf+928=")</f>
        <v>#REF!</v>
      </c>
      <c r="DI6" t="e">
        <f>AND(#REF!,"AAAAAGf+93A=")</f>
        <v>#REF!</v>
      </c>
      <c r="DJ6" t="e">
        <f>AND(#REF!,"AAAAAGf+93E=")</f>
        <v>#REF!</v>
      </c>
      <c r="DK6" t="e">
        <f>AND(#REF!,"AAAAAGf+93I=")</f>
        <v>#REF!</v>
      </c>
      <c r="DL6" t="e">
        <f>AND(#REF!,"AAAAAGf+93M=")</f>
        <v>#REF!</v>
      </c>
      <c r="DM6" t="e">
        <f>AND(#REF!,"AAAAAGf+93Q=")</f>
        <v>#REF!</v>
      </c>
      <c r="DN6" t="e">
        <f>AND(#REF!,"AAAAAGf+93U=")</f>
        <v>#REF!</v>
      </c>
      <c r="DO6" t="e">
        <f>IF(#REF!,"AAAAAGf+93Y=",0)</f>
        <v>#REF!</v>
      </c>
      <c r="DP6" t="e">
        <f>AND(#REF!,"AAAAAGf+93c=")</f>
        <v>#REF!</v>
      </c>
      <c r="DQ6" t="e">
        <f>AND(#REF!,"AAAAAGf+93g=")</f>
        <v>#REF!</v>
      </c>
      <c r="DR6" t="e">
        <f>AND(#REF!,"AAAAAGf+93k=")</f>
        <v>#REF!</v>
      </c>
      <c r="DS6" t="e">
        <f>AND(#REF!,"AAAAAGf+93o=")</f>
        <v>#REF!</v>
      </c>
      <c r="DT6" t="e">
        <f>AND(#REF!,"AAAAAGf+93s=")</f>
        <v>#REF!</v>
      </c>
      <c r="DU6" t="e">
        <f>AND(#REF!,"AAAAAGf+93w=")</f>
        <v>#REF!</v>
      </c>
      <c r="DV6" t="e">
        <f>AND(#REF!,"AAAAAGf+930=")</f>
        <v>#REF!</v>
      </c>
      <c r="DW6" t="e">
        <f>AND(#REF!,"AAAAAGf+934=")</f>
        <v>#REF!</v>
      </c>
      <c r="DX6" t="e">
        <f>AND(#REF!,"AAAAAGf+938=")</f>
        <v>#REF!</v>
      </c>
      <c r="DY6" t="e">
        <f>AND(#REF!,"AAAAAGf+94A=")</f>
        <v>#REF!</v>
      </c>
      <c r="DZ6" t="e">
        <f>AND(#REF!,"AAAAAGf+94E=")</f>
        <v>#REF!</v>
      </c>
      <c r="EA6" t="e">
        <f>IF(#REF!,"AAAAAGf+94I=",0)</f>
        <v>#REF!</v>
      </c>
      <c r="EB6" t="e">
        <f>AND(#REF!,"AAAAAGf+94M=")</f>
        <v>#REF!</v>
      </c>
      <c r="EC6" t="e">
        <f>AND(#REF!,"AAAAAGf+94Q=")</f>
        <v>#REF!</v>
      </c>
      <c r="ED6" t="e">
        <f>AND(#REF!,"AAAAAGf+94U=")</f>
        <v>#REF!</v>
      </c>
      <c r="EE6" t="e">
        <f>AND(#REF!,"AAAAAGf+94Y=")</f>
        <v>#REF!</v>
      </c>
      <c r="EF6" t="e">
        <f>AND(#REF!,"AAAAAGf+94c=")</f>
        <v>#REF!</v>
      </c>
      <c r="EG6" t="e">
        <f>AND(#REF!,"AAAAAGf+94g=")</f>
        <v>#REF!</v>
      </c>
      <c r="EH6" t="e">
        <f>AND(#REF!,"AAAAAGf+94k=")</f>
        <v>#REF!</v>
      </c>
      <c r="EI6" t="e">
        <f>AND(#REF!,"AAAAAGf+94o=")</f>
        <v>#REF!</v>
      </c>
      <c r="EJ6" t="e">
        <f>AND(#REF!,"AAAAAGf+94s=")</f>
        <v>#REF!</v>
      </c>
      <c r="EK6" t="e">
        <f>AND(#REF!,"AAAAAGf+94w=")</f>
        <v>#REF!</v>
      </c>
      <c r="EL6" t="e">
        <f>AND(#REF!,"AAAAAGf+940=")</f>
        <v>#REF!</v>
      </c>
      <c r="EM6" t="e">
        <f>IF(#REF!,"AAAAAGf+944=",0)</f>
        <v>#REF!</v>
      </c>
      <c r="EN6" t="e">
        <f>AND(#REF!,"AAAAAGf+948=")</f>
        <v>#REF!</v>
      </c>
      <c r="EO6" t="e">
        <f>AND(#REF!,"AAAAAGf+95A=")</f>
        <v>#REF!</v>
      </c>
      <c r="EP6" t="e">
        <f>AND(#REF!,"AAAAAGf+95E=")</f>
        <v>#REF!</v>
      </c>
      <c r="EQ6" t="e">
        <f>AND(#REF!,"AAAAAGf+95I=")</f>
        <v>#REF!</v>
      </c>
      <c r="ER6" t="e">
        <f>AND(#REF!,"AAAAAGf+95M=")</f>
        <v>#REF!</v>
      </c>
      <c r="ES6" t="e">
        <f>AND(#REF!,"AAAAAGf+95Q=")</f>
        <v>#REF!</v>
      </c>
      <c r="ET6" t="e">
        <f>AND(#REF!,"AAAAAGf+95U=")</f>
        <v>#REF!</v>
      </c>
      <c r="EU6" t="e">
        <f>AND(#REF!,"AAAAAGf+95Y=")</f>
        <v>#REF!</v>
      </c>
      <c r="EV6" t="e">
        <f>AND(#REF!,"AAAAAGf+95c=")</f>
        <v>#REF!</v>
      </c>
      <c r="EW6" t="e">
        <f>AND(#REF!,"AAAAAGf+95g=")</f>
        <v>#REF!</v>
      </c>
      <c r="EX6" t="e">
        <f>AND(#REF!,"AAAAAGf+95k=")</f>
        <v>#REF!</v>
      </c>
      <c r="EY6" t="e">
        <f>IF(#REF!,"AAAAAGf+95o=",0)</f>
        <v>#REF!</v>
      </c>
      <c r="EZ6" t="e">
        <f>AND(#REF!,"AAAAAGf+95s=")</f>
        <v>#REF!</v>
      </c>
      <c r="FA6" t="e">
        <f>AND(#REF!,"AAAAAGf+95w=")</f>
        <v>#REF!</v>
      </c>
      <c r="FB6" t="e">
        <f>AND(#REF!,"AAAAAGf+950=")</f>
        <v>#REF!</v>
      </c>
      <c r="FC6" t="e">
        <f>AND(#REF!,"AAAAAGf+954=")</f>
        <v>#REF!</v>
      </c>
      <c r="FD6" t="e">
        <f>AND(#REF!,"AAAAAGf+958=")</f>
        <v>#REF!</v>
      </c>
      <c r="FE6" t="e">
        <f>AND(#REF!,"AAAAAGf+96A=")</f>
        <v>#REF!</v>
      </c>
      <c r="FF6" t="e">
        <f>AND(#REF!,"AAAAAGf+96E=")</f>
        <v>#REF!</v>
      </c>
      <c r="FG6" t="e">
        <f>AND(#REF!,"AAAAAGf+96I=")</f>
        <v>#REF!</v>
      </c>
      <c r="FH6" t="e">
        <f>AND(#REF!,"AAAAAGf+96M=")</f>
        <v>#REF!</v>
      </c>
      <c r="FI6" t="e">
        <f>AND(#REF!,"AAAAAGf+96Q=")</f>
        <v>#REF!</v>
      </c>
      <c r="FJ6" t="e">
        <f>AND(#REF!,"AAAAAGf+96U=")</f>
        <v>#REF!</v>
      </c>
      <c r="FK6" t="e">
        <f>IF(#REF!,"AAAAAGf+96Y=",0)</f>
        <v>#REF!</v>
      </c>
      <c r="FL6" t="e">
        <f>AND(#REF!,"AAAAAGf+96c=")</f>
        <v>#REF!</v>
      </c>
      <c r="FM6" t="e">
        <f>AND(#REF!,"AAAAAGf+96g=")</f>
        <v>#REF!</v>
      </c>
      <c r="FN6" t="e">
        <f>AND(#REF!,"AAAAAGf+96k=")</f>
        <v>#REF!</v>
      </c>
      <c r="FO6" t="e">
        <f>AND(#REF!,"AAAAAGf+96o=")</f>
        <v>#REF!</v>
      </c>
      <c r="FP6" t="e">
        <f>AND(#REF!,"AAAAAGf+96s=")</f>
        <v>#REF!</v>
      </c>
      <c r="FQ6" t="e">
        <f>AND(#REF!,"AAAAAGf+96w=")</f>
        <v>#REF!</v>
      </c>
      <c r="FR6" t="e">
        <f>AND(#REF!,"AAAAAGf+960=")</f>
        <v>#REF!</v>
      </c>
      <c r="FS6" t="e">
        <f>AND(#REF!,"AAAAAGf+964=")</f>
        <v>#REF!</v>
      </c>
      <c r="FT6" t="e">
        <f>AND(#REF!,"AAAAAGf+968=")</f>
        <v>#REF!</v>
      </c>
      <c r="FU6" t="e">
        <f>AND(#REF!,"AAAAAGf+97A=")</f>
        <v>#REF!</v>
      </c>
      <c r="FV6" t="e">
        <f>AND(#REF!,"AAAAAGf+97E=")</f>
        <v>#REF!</v>
      </c>
      <c r="FW6" t="e">
        <f>IF(#REF!,"AAAAAGf+97I=",0)</f>
        <v>#REF!</v>
      </c>
      <c r="FX6" t="e">
        <f>AND(#REF!,"AAAAAGf+97M=")</f>
        <v>#REF!</v>
      </c>
      <c r="FY6" t="e">
        <f>AND(#REF!,"AAAAAGf+97Q=")</f>
        <v>#REF!</v>
      </c>
      <c r="FZ6" t="e">
        <f>AND(#REF!,"AAAAAGf+97U=")</f>
        <v>#REF!</v>
      </c>
      <c r="GA6" t="e">
        <f>AND(#REF!,"AAAAAGf+97Y=")</f>
        <v>#REF!</v>
      </c>
      <c r="GB6" t="e">
        <f>AND(#REF!,"AAAAAGf+97c=")</f>
        <v>#REF!</v>
      </c>
      <c r="GC6" t="e">
        <f>AND(#REF!,"AAAAAGf+97g=")</f>
        <v>#REF!</v>
      </c>
      <c r="GD6" t="e">
        <f>AND(#REF!,"AAAAAGf+97k=")</f>
        <v>#REF!</v>
      </c>
      <c r="GE6" t="e">
        <f>AND(#REF!,"AAAAAGf+97o=")</f>
        <v>#REF!</v>
      </c>
      <c r="GF6" t="e">
        <f>AND(#REF!,"AAAAAGf+97s=")</f>
        <v>#REF!</v>
      </c>
      <c r="GG6" t="e">
        <f>AND(#REF!,"AAAAAGf+97w=")</f>
        <v>#REF!</v>
      </c>
      <c r="GH6" t="e">
        <f>AND(#REF!,"AAAAAGf+970=")</f>
        <v>#REF!</v>
      </c>
      <c r="GI6" t="e">
        <f>IF(#REF!,"AAAAAGf+974=",0)</f>
        <v>#REF!</v>
      </c>
      <c r="GJ6" t="e">
        <f>AND(#REF!,"AAAAAGf+978=")</f>
        <v>#REF!</v>
      </c>
      <c r="GK6" t="e">
        <f>AND(#REF!,"AAAAAGf+98A=")</f>
        <v>#REF!</v>
      </c>
      <c r="GL6" t="e">
        <f>AND(#REF!,"AAAAAGf+98E=")</f>
        <v>#REF!</v>
      </c>
      <c r="GM6" t="e">
        <f>AND(#REF!,"AAAAAGf+98I=")</f>
        <v>#REF!</v>
      </c>
      <c r="GN6" t="e">
        <f>AND(#REF!,"AAAAAGf+98M=")</f>
        <v>#REF!</v>
      </c>
      <c r="GO6" t="e">
        <f>AND(#REF!,"AAAAAGf+98Q=")</f>
        <v>#REF!</v>
      </c>
      <c r="GP6" t="e">
        <f>AND(#REF!,"AAAAAGf+98U=")</f>
        <v>#REF!</v>
      </c>
      <c r="GQ6" t="e">
        <f>AND(#REF!,"AAAAAGf+98Y=")</f>
        <v>#REF!</v>
      </c>
      <c r="GR6" t="e">
        <f>AND(#REF!,"AAAAAGf+98c=")</f>
        <v>#REF!</v>
      </c>
      <c r="GS6" t="e">
        <f>AND(#REF!,"AAAAAGf+98g=")</f>
        <v>#REF!</v>
      </c>
      <c r="GT6" t="e">
        <f>AND(#REF!,"AAAAAGf+98k=")</f>
        <v>#REF!</v>
      </c>
      <c r="GU6" t="e">
        <f>IF(#REF!,"AAAAAGf+98o=",0)</f>
        <v>#REF!</v>
      </c>
      <c r="GV6" t="e">
        <f>AND(#REF!,"AAAAAGf+98s=")</f>
        <v>#REF!</v>
      </c>
      <c r="GW6" t="e">
        <f>AND(#REF!,"AAAAAGf+98w=")</f>
        <v>#REF!</v>
      </c>
      <c r="GX6" t="e">
        <f>AND(#REF!,"AAAAAGf+980=")</f>
        <v>#REF!</v>
      </c>
      <c r="GY6" t="e">
        <f>AND(#REF!,"AAAAAGf+984=")</f>
        <v>#REF!</v>
      </c>
      <c r="GZ6" t="e">
        <f>AND(#REF!,"AAAAAGf+988=")</f>
        <v>#REF!</v>
      </c>
      <c r="HA6" t="e">
        <f>AND(#REF!,"AAAAAGf+99A=")</f>
        <v>#REF!</v>
      </c>
      <c r="HB6" t="e">
        <f>AND(#REF!,"AAAAAGf+99E=")</f>
        <v>#REF!</v>
      </c>
      <c r="HC6" t="e">
        <f>AND(#REF!,"AAAAAGf+99I=")</f>
        <v>#REF!</v>
      </c>
      <c r="HD6" t="e">
        <f>AND(#REF!,"AAAAAGf+99M=")</f>
        <v>#REF!</v>
      </c>
      <c r="HE6" t="e">
        <f>AND(#REF!,"AAAAAGf+99Q=")</f>
        <v>#REF!</v>
      </c>
      <c r="HF6" t="e">
        <f>AND(#REF!,"AAAAAGf+99U=")</f>
        <v>#REF!</v>
      </c>
      <c r="HG6" t="e">
        <f>IF(#REF!,"AAAAAGf+99Y=",0)</f>
        <v>#REF!</v>
      </c>
      <c r="HH6" t="e">
        <f>AND(#REF!,"AAAAAGf+99c=")</f>
        <v>#REF!</v>
      </c>
      <c r="HI6" t="e">
        <f>AND(#REF!,"AAAAAGf+99g=")</f>
        <v>#REF!</v>
      </c>
      <c r="HJ6" t="e">
        <f>AND(#REF!,"AAAAAGf+99k=")</f>
        <v>#REF!</v>
      </c>
      <c r="HK6" t="e">
        <f>AND(#REF!,"AAAAAGf+99o=")</f>
        <v>#REF!</v>
      </c>
      <c r="HL6" t="e">
        <f>AND(#REF!,"AAAAAGf+99s=")</f>
        <v>#REF!</v>
      </c>
      <c r="HM6" t="e">
        <f>AND(#REF!,"AAAAAGf+99w=")</f>
        <v>#REF!</v>
      </c>
      <c r="HN6" t="e">
        <f>AND(#REF!,"AAAAAGf+990=")</f>
        <v>#REF!</v>
      </c>
      <c r="HO6" t="e">
        <f>AND(#REF!,"AAAAAGf+994=")</f>
        <v>#REF!</v>
      </c>
      <c r="HP6" t="e">
        <f>AND(#REF!,"AAAAAGf+998=")</f>
        <v>#REF!</v>
      </c>
      <c r="HQ6" t="e">
        <f>AND(#REF!,"AAAAAGf+9+A=")</f>
        <v>#REF!</v>
      </c>
      <c r="HR6" t="e">
        <f>AND(#REF!,"AAAAAGf+9+E=")</f>
        <v>#REF!</v>
      </c>
      <c r="HS6" t="e">
        <f>IF(#REF!,"AAAAAGf+9+I=",0)</f>
        <v>#REF!</v>
      </c>
      <c r="HT6" t="e">
        <f>AND(#REF!,"AAAAAGf+9+M=")</f>
        <v>#REF!</v>
      </c>
      <c r="HU6" t="e">
        <f>AND(#REF!,"AAAAAGf+9+Q=")</f>
        <v>#REF!</v>
      </c>
      <c r="HV6" t="e">
        <f>AND(#REF!,"AAAAAGf+9+U=")</f>
        <v>#REF!</v>
      </c>
      <c r="HW6" t="e">
        <f>AND(#REF!,"AAAAAGf+9+Y=")</f>
        <v>#REF!</v>
      </c>
      <c r="HX6" t="e">
        <f>AND(#REF!,"AAAAAGf+9+c=")</f>
        <v>#REF!</v>
      </c>
      <c r="HY6" t="e">
        <f>AND(#REF!,"AAAAAGf+9+g=")</f>
        <v>#REF!</v>
      </c>
      <c r="HZ6" t="e">
        <f>AND(#REF!,"AAAAAGf+9+k=")</f>
        <v>#REF!</v>
      </c>
      <c r="IA6" t="e">
        <f>AND(#REF!,"AAAAAGf+9+o=")</f>
        <v>#REF!</v>
      </c>
      <c r="IB6" t="e">
        <f>AND(#REF!,"AAAAAGf+9+s=")</f>
        <v>#REF!</v>
      </c>
      <c r="IC6" t="e">
        <f>AND(#REF!,"AAAAAGf+9+w=")</f>
        <v>#REF!</v>
      </c>
      <c r="ID6" t="e">
        <f>AND(#REF!,"AAAAAGf+9+0=")</f>
        <v>#REF!</v>
      </c>
      <c r="IE6" t="e">
        <f>IF(#REF!,"AAAAAGf+9+4=",0)</f>
        <v>#REF!</v>
      </c>
      <c r="IF6" t="e">
        <f>AND(#REF!,"AAAAAGf+9+8=")</f>
        <v>#REF!</v>
      </c>
      <c r="IG6" t="e">
        <f>AND(#REF!,"AAAAAGf+9/A=")</f>
        <v>#REF!</v>
      </c>
      <c r="IH6" t="e">
        <f>AND(#REF!,"AAAAAGf+9/E=")</f>
        <v>#REF!</v>
      </c>
      <c r="II6" t="e">
        <f>AND(#REF!,"AAAAAGf+9/I=")</f>
        <v>#REF!</v>
      </c>
      <c r="IJ6" t="e">
        <f>AND(#REF!,"AAAAAGf+9/M=")</f>
        <v>#REF!</v>
      </c>
      <c r="IK6" t="e">
        <f>AND(#REF!,"AAAAAGf+9/Q=")</f>
        <v>#REF!</v>
      </c>
      <c r="IL6" t="e">
        <f>AND(#REF!,"AAAAAGf+9/U=")</f>
        <v>#REF!</v>
      </c>
      <c r="IM6" t="e">
        <f>AND(#REF!,"AAAAAGf+9/Y=")</f>
        <v>#REF!</v>
      </c>
      <c r="IN6" t="e">
        <f>AND(#REF!,"AAAAAGf+9/c=")</f>
        <v>#REF!</v>
      </c>
      <c r="IO6" t="e">
        <f>AND(#REF!,"AAAAAGf+9/g=")</f>
        <v>#REF!</v>
      </c>
      <c r="IP6" t="e">
        <f>AND(#REF!,"AAAAAGf+9/k=")</f>
        <v>#REF!</v>
      </c>
      <c r="IQ6" t="e">
        <f>IF(#REF!,"AAAAAGf+9/o=",0)</f>
        <v>#REF!</v>
      </c>
      <c r="IR6" t="e">
        <f>AND(#REF!,"AAAAAGf+9/s=")</f>
        <v>#REF!</v>
      </c>
      <c r="IS6" t="e">
        <f>AND(#REF!,"AAAAAGf+9/w=")</f>
        <v>#REF!</v>
      </c>
      <c r="IT6" t="e">
        <f>AND(#REF!,"AAAAAGf+9/0=")</f>
        <v>#REF!</v>
      </c>
      <c r="IU6" t="e">
        <f>AND(#REF!,"AAAAAGf+9/4=")</f>
        <v>#REF!</v>
      </c>
      <c r="IV6" t="e">
        <f>AND(#REF!,"AAAAAGf+9/8=")</f>
        <v>#REF!</v>
      </c>
    </row>
    <row r="7" spans="1:256" x14ac:dyDescent="0.3">
      <c r="A7" t="e">
        <f>AND(#REF!,"AAAAAFr/9gA=")</f>
        <v>#REF!</v>
      </c>
      <c r="B7" t="e">
        <f>AND(#REF!,"AAAAAFr/9gE=")</f>
        <v>#REF!</v>
      </c>
      <c r="C7" t="e">
        <f>AND(#REF!,"AAAAAFr/9gI=")</f>
        <v>#REF!</v>
      </c>
      <c r="D7" t="e">
        <f>AND(#REF!,"AAAAAFr/9gM=")</f>
        <v>#REF!</v>
      </c>
      <c r="E7" t="e">
        <f>AND(#REF!,"AAAAAFr/9gQ=")</f>
        <v>#REF!</v>
      </c>
      <c r="F7" t="e">
        <f>AND(#REF!,"AAAAAFr/9gU=")</f>
        <v>#REF!</v>
      </c>
      <c r="G7" t="e">
        <f>IF(#REF!,"AAAAAFr/9gY=",0)</f>
        <v>#REF!</v>
      </c>
      <c r="H7" t="e">
        <f>AND(#REF!,"AAAAAFr/9gc=")</f>
        <v>#REF!</v>
      </c>
      <c r="I7" t="e">
        <f>AND(#REF!,"AAAAAFr/9gg=")</f>
        <v>#REF!</v>
      </c>
      <c r="J7" t="e">
        <f>AND(#REF!,"AAAAAFr/9gk=")</f>
        <v>#REF!</v>
      </c>
      <c r="K7" t="e">
        <f>AND(#REF!,"AAAAAFr/9go=")</f>
        <v>#REF!</v>
      </c>
      <c r="L7" t="e">
        <f>AND(#REF!,"AAAAAFr/9gs=")</f>
        <v>#REF!</v>
      </c>
      <c r="M7" t="e">
        <f>AND(#REF!,"AAAAAFr/9gw=")</f>
        <v>#REF!</v>
      </c>
      <c r="N7" t="e">
        <f>AND(#REF!,"AAAAAFr/9g0=")</f>
        <v>#REF!</v>
      </c>
      <c r="O7" t="e">
        <f>AND(#REF!,"AAAAAFr/9g4=")</f>
        <v>#REF!</v>
      </c>
      <c r="P7" t="e">
        <f>AND(#REF!,"AAAAAFr/9g8=")</f>
        <v>#REF!</v>
      </c>
      <c r="Q7" t="e">
        <f>AND(#REF!,"AAAAAFr/9hA=")</f>
        <v>#REF!</v>
      </c>
      <c r="R7" t="e">
        <f>AND(#REF!,"AAAAAFr/9hE=")</f>
        <v>#REF!</v>
      </c>
      <c r="S7" t="e">
        <f>IF(#REF!,"AAAAAFr/9hI=",0)</f>
        <v>#REF!</v>
      </c>
      <c r="T7" t="e">
        <f>AND(#REF!,"AAAAAFr/9hM=")</f>
        <v>#REF!</v>
      </c>
      <c r="U7" t="e">
        <f>AND(#REF!,"AAAAAFr/9hQ=")</f>
        <v>#REF!</v>
      </c>
      <c r="V7" t="e">
        <f>AND(#REF!,"AAAAAFr/9hU=")</f>
        <v>#REF!</v>
      </c>
      <c r="W7" t="e">
        <f>AND(#REF!,"AAAAAFr/9hY=")</f>
        <v>#REF!</v>
      </c>
      <c r="X7" t="e">
        <f>AND(#REF!,"AAAAAFr/9hc=")</f>
        <v>#REF!</v>
      </c>
      <c r="Y7" t="e">
        <f>AND(#REF!,"AAAAAFr/9hg=")</f>
        <v>#REF!</v>
      </c>
      <c r="Z7" t="e">
        <f>AND(#REF!,"AAAAAFr/9hk=")</f>
        <v>#REF!</v>
      </c>
      <c r="AA7" t="e">
        <f>AND(#REF!,"AAAAAFr/9ho=")</f>
        <v>#REF!</v>
      </c>
      <c r="AB7" t="e">
        <f>AND(#REF!,"AAAAAFr/9hs=")</f>
        <v>#REF!</v>
      </c>
      <c r="AC7" t="e">
        <f>AND(#REF!,"AAAAAFr/9hw=")</f>
        <v>#REF!</v>
      </c>
      <c r="AD7" t="e">
        <f>AND(#REF!,"AAAAAFr/9h0=")</f>
        <v>#REF!</v>
      </c>
      <c r="AE7" t="e">
        <f>IF(#REF!,"AAAAAFr/9h4=",0)</f>
        <v>#REF!</v>
      </c>
      <c r="AF7" t="e">
        <f>AND(#REF!,"AAAAAFr/9h8=")</f>
        <v>#REF!</v>
      </c>
      <c r="AG7" t="e">
        <f>AND(#REF!,"AAAAAFr/9iA=")</f>
        <v>#REF!</v>
      </c>
      <c r="AH7" t="e">
        <f>AND(#REF!,"AAAAAFr/9iE=")</f>
        <v>#REF!</v>
      </c>
      <c r="AI7" t="e">
        <f>AND(#REF!,"AAAAAFr/9iI=")</f>
        <v>#REF!</v>
      </c>
      <c r="AJ7" t="e">
        <f>AND(#REF!,"AAAAAFr/9iM=")</f>
        <v>#REF!</v>
      </c>
      <c r="AK7" t="e">
        <f>AND(#REF!,"AAAAAFr/9iQ=")</f>
        <v>#REF!</v>
      </c>
      <c r="AL7" t="e">
        <f>AND(#REF!,"AAAAAFr/9iU=")</f>
        <v>#REF!</v>
      </c>
      <c r="AM7" t="e">
        <f>AND(#REF!,"AAAAAFr/9iY=")</f>
        <v>#REF!</v>
      </c>
      <c r="AN7" t="e">
        <f>AND(#REF!,"AAAAAFr/9ic=")</f>
        <v>#REF!</v>
      </c>
      <c r="AO7" t="e">
        <f>AND(#REF!,"AAAAAFr/9ig=")</f>
        <v>#REF!</v>
      </c>
      <c r="AP7" t="e">
        <f>AND(#REF!,"AAAAAFr/9ik=")</f>
        <v>#REF!</v>
      </c>
      <c r="AQ7" t="e">
        <f>IF(#REF!,"AAAAAFr/9io=",0)</f>
        <v>#REF!</v>
      </c>
      <c r="AR7" t="e">
        <f>AND(#REF!,"AAAAAFr/9is=")</f>
        <v>#REF!</v>
      </c>
      <c r="AS7" t="e">
        <f>AND(#REF!,"AAAAAFr/9iw=")</f>
        <v>#REF!</v>
      </c>
      <c r="AT7" t="e">
        <f>AND(#REF!,"AAAAAFr/9i0=")</f>
        <v>#REF!</v>
      </c>
      <c r="AU7" t="e">
        <f>AND(#REF!,"AAAAAFr/9i4=")</f>
        <v>#REF!</v>
      </c>
      <c r="AV7" t="e">
        <f>AND(#REF!,"AAAAAFr/9i8=")</f>
        <v>#REF!</v>
      </c>
      <c r="AW7" t="e">
        <f>AND(#REF!,"AAAAAFr/9jA=")</f>
        <v>#REF!</v>
      </c>
      <c r="AX7" t="e">
        <f>AND(#REF!,"AAAAAFr/9jE=")</f>
        <v>#REF!</v>
      </c>
      <c r="AY7" t="e">
        <f>AND(#REF!,"AAAAAFr/9jI=")</f>
        <v>#REF!</v>
      </c>
      <c r="AZ7" t="e">
        <f>AND(#REF!,"AAAAAFr/9jM=")</f>
        <v>#REF!</v>
      </c>
      <c r="BA7" t="e">
        <f>AND(#REF!,"AAAAAFr/9jQ=")</f>
        <v>#REF!</v>
      </c>
      <c r="BB7" t="e">
        <f>AND(#REF!,"AAAAAFr/9jU=")</f>
        <v>#REF!</v>
      </c>
      <c r="BC7" t="e">
        <f>IF(#REF!,"AAAAAFr/9jY=",0)</f>
        <v>#REF!</v>
      </c>
      <c r="BD7" t="e">
        <f>AND(#REF!,"AAAAAFr/9jc=")</f>
        <v>#REF!</v>
      </c>
      <c r="BE7" t="e">
        <f>AND(#REF!,"AAAAAFr/9jg=")</f>
        <v>#REF!</v>
      </c>
      <c r="BF7" t="e">
        <f>AND(#REF!,"AAAAAFr/9jk=")</f>
        <v>#REF!</v>
      </c>
      <c r="BG7" t="e">
        <f>AND(#REF!,"AAAAAFr/9jo=")</f>
        <v>#REF!</v>
      </c>
      <c r="BH7" t="e">
        <f>AND(#REF!,"AAAAAFr/9js=")</f>
        <v>#REF!</v>
      </c>
      <c r="BI7" t="e">
        <f>AND(#REF!,"AAAAAFr/9jw=")</f>
        <v>#REF!</v>
      </c>
      <c r="BJ7" t="e">
        <f>AND(#REF!,"AAAAAFr/9j0=")</f>
        <v>#REF!</v>
      </c>
      <c r="BK7" t="e">
        <f>AND(#REF!,"AAAAAFr/9j4=")</f>
        <v>#REF!</v>
      </c>
      <c r="BL7" t="e">
        <f>AND(#REF!,"AAAAAFr/9j8=")</f>
        <v>#REF!</v>
      </c>
      <c r="BM7" t="e">
        <f>AND(#REF!,"AAAAAFr/9kA=")</f>
        <v>#REF!</v>
      </c>
      <c r="BN7" t="e">
        <f>AND(#REF!,"AAAAAFr/9kE=")</f>
        <v>#REF!</v>
      </c>
      <c r="BO7" t="e">
        <f>IF(#REF!,"AAAAAFr/9kI=",0)</f>
        <v>#REF!</v>
      </c>
      <c r="BP7" t="e">
        <f>AND(#REF!,"AAAAAFr/9kM=")</f>
        <v>#REF!</v>
      </c>
      <c r="BQ7" t="e">
        <f>AND(#REF!,"AAAAAFr/9kQ=")</f>
        <v>#REF!</v>
      </c>
      <c r="BR7" t="e">
        <f>AND(#REF!,"AAAAAFr/9kU=")</f>
        <v>#REF!</v>
      </c>
      <c r="BS7" t="e">
        <f>AND(#REF!,"AAAAAFr/9kY=")</f>
        <v>#REF!</v>
      </c>
      <c r="BT7" t="e">
        <f>AND(#REF!,"AAAAAFr/9kc=")</f>
        <v>#REF!</v>
      </c>
      <c r="BU7" t="e">
        <f>AND(#REF!,"AAAAAFr/9kg=")</f>
        <v>#REF!</v>
      </c>
      <c r="BV7" t="e">
        <f>AND(#REF!,"AAAAAFr/9kk=")</f>
        <v>#REF!</v>
      </c>
      <c r="BW7" t="e">
        <f>AND(#REF!,"AAAAAFr/9ko=")</f>
        <v>#REF!</v>
      </c>
      <c r="BX7" t="e">
        <f>AND(#REF!,"AAAAAFr/9ks=")</f>
        <v>#REF!</v>
      </c>
      <c r="BY7" t="e">
        <f>AND(#REF!,"AAAAAFr/9kw=")</f>
        <v>#REF!</v>
      </c>
      <c r="BZ7" t="e">
        <f>AND(#REF!,"AAAAAFr/9k0=")</f>
        <v>#REF!</v>
      </c>
      <c r="CA7" t="e">
        <f>IF(#REF!,"AAAAAFr/9k4=",0)</f>
        <v>#REF!</v>
      </c>
      <c r="CB7" t="e">
        <f>AND(#REF!,"AAAAAFr/9k8=")</f>
        <v>#REF!</v>
      </c>
      <c r="CC7" t="e">
        <f>AND(#REF!,"AAAAAFr/9lA=")</f>
        <v>#REF!</v>
      </c>
      <c r="CD7" t="e">
        <f>AND(#REF!,"AAAAAFr/9lE=")</f>
        <v>#REF!</v>
      </c>
      <c r="CE7" t="e">
        <f>AND(#REF!,"AAAAAFr/9lI=")</f>
        <v>#REF!</v>
      </c>
      <c r="CF7" t="e">
        <f>AND(#REF!,"AAAAAFr/9lM=")</f>
        <v>#REF!</v>
      </c>
      <c r="CG7" t="e">
        <f>AND(#REF!,"AAAAAFr/9lQ=")</f>
        <v>#REF!</v>
      </c>
      <c r="CH7" t="e">
        <f>AND(#REF!,"AAAAAFr/9lU=")</f>
        <v>#REF!</v>
      </c>
      <c r="CI7" t="e">
        <f>AND(#REF!,"AAAAAFr/9lY=")</f>
        <v>#REF!</v>
      </c>
      <c r="CJ7" t="e">
        <f>AND(#REF!,"AAAAAFr/9lc=")</f>
        <v>#REF!</v>
      </c>
      <c r="CK7" t="e">
        <f>AND(#REF!,"AAAAAFr/9lg=")</f>
        <v>#REF!</v>
      </c>
      <c r="CL7" t="e">
        <f>AND(#REF!,"AAAAAFr/9lk=")</f>
        <v>#REF!</v>
      </c>
      <c r="CM7" t="e">
        <f>IF(#REF!,"AAAAAFr/9lo=",0)</f>
        <v>#REF!</v>
      </c>
      <c r="CN7" t="e">
        <f>AND(#REF!,"AAAAAFr/9ls=")</f>
        <v>#REF!</v>
      </c>
      <c r="CO7" t="e">
        <f>AND(#REF!,"AAAAAFr/9lw=")</f>
        <v>#REF!</v>
      </c>
      <c r="CP7" t="e">
        <f>AND(#REF!,"AAAAAFr/9l0=")</f>
        <v>#REF!</v>
      </c>
      <c r="CQ7" t="e">
        <f>AND(#REF!,"AAAAAFr/9l4=")</f>
        <v>#REF!</v>
      </c>
      <c r="CR7" t="e">
        <f>AND(#REF!,"AAAAAFr/9l8=")</f>
        <v>#REF!</v>
      </c>
      <c r="CS7" t="e">
        <f>AND(#REF!,"AAAAAFr/9mA=")</f>
        <v>#REF!</v>
      </c>
      <c r="CT7" t="e">
        <f>AND(#REF!,"AAAAAFr/9mE=")</f>
        <v>#REF!</v>
      </c>
      <c r="CU7" t="e">
        <f>AND(#REF!,"AAAAAFr/9mI=")</f>
        <v>#REF!</v>
      </c>
      <c r="CV7" t="e">
        <f>AND(#REF!,"AAAAAFr/9mM=")</f>
        <v>#REF!</v>
      </c>
      <c r="CW7" t="e">
        <f>AND(#REF!,"AAAAAFr/9mQ=")</f>
        <v>#REF!</v>
      </c>
      <c r="CX7" t="e">
        <f>AND(#REF!,"AAAAAFr/9mU=")</f>
        <v>#REF!</v>
      </c>
      <c r="CY7" t="e">
        <f>IF(#REF!,"AAAAAFr/9mY=",0)</f>
        <v>#REF!</v>
      </c>
      <c r="CZ7" t="e">
        <f>AND(#REF!,"AAAAAFr/9mc=")</f>
        <v>#REF!</v>
      </c>
      <c r="DA7" t="e">
        <f>AND(#REF!,"AAAAAFr/9mg=")</f>
        <v>#REF!</v>
      </c>
      <c r="DB7" t="e">
        <f>AND(#REF!,"AAAAAFr/9mk=")</f>
        <v>#REF!</v>
      </c>
      <c r="DC7" t="e">
        <f>AND(#REF!,"AAAAAFr/9mo=")</f>
        <v>#REF!</v>
      </c>
      <c r="DD7" t="e">
        <f>AND(#REF!,"AAAAAFr/9ms=")</f>
        <v>#REF!</v>
      </c>
      <c r="DE7" t="e">
        <f>AND(#REF!,"AAAAAFr/9mw=")</f>
        <v>#REF!</v>
      </c>
      <c r="DF7" t="e">
        <f>AND(#REF!,"AAAAAFr/9m0=")</f>
        <v>#REF!</v>
      </c>
      <c r="DG7" t="e">
        <f>AND(#REF!,"AAAAAFr/9m4=")</f>
        <v>#REF!</v>
      </c>
      <c r="DH7" t="e">
        <f>AND(#REF!,"AAAAAFr/9m8=")</f>
        <v>#REF!</v>
      </c>
      <c r="DI7" t="e">
        <f>AND(#REF!,"AAAAAFr/9nA=")</f>
        <v>#REF!</v>
      </c>
      <c r="DJ7" t="e">
        <f>AND(#REF!,"AAAAAFr/9nE=")</f>
        <v>#REF!</v>
      </c>
      <c r="DK7" t="e">
        <f>IF(#REF!,"AAAAAFr/9nI=",0)</f>
        <v>#REF!</v>
      </c>
      <c r="DL7" t="e">
        <f>AND(#REF!,"AAAAAFr/9nM=")</f>
        <v>#REF!</v>
      </c>
      <c r="DM7" t="e">
        <f>AND(#REF!,"AAAAAFr/9nQ=")</f>
        <v>#REF!</v>
      </c>
      <c r="DN7" t="e">
        <f>AND(#REF!,"AAAAAFr/9nU=")</f>
        <v>#REF!</v>
      </c>
      <c r="DO7" t="e">
        <f>AND(#REF!,"AAAAAFr/9nY=")</f>
        <v>#REF!</v>
      </c>
      <c r="DP7" t="e">
        <f>AND(#REF!,"AAAAAFr/9nc=")</f>
        <v>#REF!</v>
      </c>
      <c r="DQ7" t="e">
        <f>AND(#REF!,"AAAAAFr/9ng=")</f>
        <v>#REF!</v>
      </c>
      <c r="DR7" t="e">
        <f>AND(#REF!,"AAAAAFr/9nk=")</f>
        <v>#REF!</v>
      </c>
      <c r="DS7" t="e">
        <f>AND(#REF!,"AAAAAFr/9no=")</f>
        <v>#REF!</v>
      </c>
      <c r="DT7" t="e">
        <f>AND(#REF!,"AAAAAFr/9ns=")</f>
        <v>#REF!</v>
      </c>
      <c r="DU7" t="e">
        <f>AND(#REF!,"AAAAAFr/9nw=")</f>
        <v>#REF!</v>
      </c>
      <c r="DV7" t="e">
        <f>AND(#REF!,"AAAAAFr/9n0=")</f>
        <v>#REF!</v>
      </c>
      <c r="DW7" t="e">
        <f>IF(#REF!,"AAAAAFr/9n4=",0)</f>
        <v>#REF!</v>
      </c>
      <c r="DX7" t="e">
        <f>AND(#REF!,"AAAAAFr/9n8=")</f>
        <v>#REF!</v>
      </c>
      <c r="DY7" t="e">
        <f>AND(#REF!,"AAAAAFr/9oA=")</f>
        <v>#REF!</v>
      </c>
      <c r="DZ7" t="e">
        <f>AND(#REF!,"AAAAAFr/9oE=")</f>
        <v>#REF!</v>
      </c>
      <c r="EA7" t="e">
        <f>AND(#REF!,"AAAAAFr/9oI=")</f>
        <v>#REF!</v>
      </c>
      <c r="EB7" t="e">
        <f>AND(#REF!,"AAAAAFr/9oM=")</f>
        <v>#REF!</v>
      </c>
      <c r="EC7" t="e">
        <f>AND(#REF!,"AAAAAFr/9oQ=")</f>
        <v>#REF!</v>
      </c>
      <c r="ED7" t="e">
        <f>AND(#REF!,"AAAAAFr/9oU=")</f>
        <v>#REF!</v>
      </c>
      <c r="EE7" t="e">
        <f>AND(#REF!,"AAAAAFr/9oY=")</f>
        <v>#REF!</v>
      </c>
      <c r="EF7" t="e">
        <f>AND(#REF!,"AAAAAFr/9oc=")</f>
        <v>#REF!</v>
      </c>
      <c r="EG7" t="e">
        <f>AND(#REF!,"AAAAAFr/9og=")</f>
        <v>#REF!</v>
      </c>
      <c r="EH7" t="e">
        <f>AND(#REF!,"AAAAAFr/9ok=")</f>
        <v>#REF!</v>
      </c>
      <c r="EI7" t="e">
        <f>IF(#REF!,"AAAAAFr/9oo=",0)</f>
        <v>#REF!</v>
      </c>
      <c r="EJ7" t="e">
        <f>AND(#REF!,"AAAAAFr/9os=")</f>
        <v>#REF!</v>
      </c>
      <c r="EK7" t="e">
        <f>AND(#REF!,"AAAAAFr/9ow=")</f>
        <v>#REF!</v>
      </c>
      <c r="EL7" t="e">
        <f>AND(#REF!,"AAAAAFr/9o0=")</f>
        <v>#REF!</v>
      </c>
      <c r="EM7" t="e">
        <f>AND(#REF!,"AAAAAFr/9o4=")</f>
        <v>#REF!</v>
      </c>
      <c r="EN7" t="e">
        <f>AND(#REF!,"AAAAAFr/9o8=")</f>
        <v>#REF!</v>
      </c>
      <c r="EO7" t="e">
        <f>AND(#REF!,"AAAAAFr/9pA=")</f>
        <v>#REF!</v>
      </c>
      <c r="EP7" t="e">
        <f>AND(#REF!,"AAAAAFr/9pE=")</f>
        <v>#REF!</v>
      </c>
      <c r="EQ7" t="e">
        <f>AND(#REF!,"AAAAAFr/9pI=")</f>
        <v>#REF!</v>
      </c>
      <c r="ER7" t="e">
        <f>AND(#REF!,"AAAAAFr/9pM=")</f>
        <v>#REF!</v>
      </c>
      <c r="ES7" t="e">
        <f>AND(#REF!,"AAAAAFr/9pQ=")</f>
        <v>#REF!</v>
      </c>
      <c r="ET7" t="e">
        <f>AND(#REF!,"AAAAAFr/9pU=")</f>
        <v>#REF!</v>
      </c>
      <c r="EU7" t="e">
        <f>IF(#REF!,"AAAAAFr/9pY=",0)</f>
        <v>#REF!</v>
      </c>
      <c r="EV7" t="e">
        <f>AND(#REF!,"AAAAAFr/9pc=")</f>
        <v>#REF!</v>
      </c>
      <c r="EW7" t="e">
        <f>AND(#REF!,"AAAAAFr/9pg=")</f>
        <v>#REF!</v>
      </c>
      <c r="EX7" t="e">
        <f>AND(#REF!,"AAAAAFr/9pk=")</f>
        <v>#REF!</v>
      </c>
      <c r="EY7" t="e">
        <f>AND(#REF!,"AAAAAFr/9po=")</f>
        <v>#REF!</v>
      </c>
      <c r="EZ7" t="e">
        <f>AND(#REF!,"AAAAAFr/9ps=")</f>
        <v>#REF!</v>
      </c>
      <c r="FA7" t="e">
        <f>AND(#REF!,"AAAAAFr/9pw=")</f>
        <v>#REF!</v>
      </c>
      <c r="FB7" t="e">
        <f>AND(#REF!,"AAAAAFr/9p0=")</f>
        <v>#REF!</v>
      </c>
      <c r="FC7" t="e">
        <f>AND(#REF!,"AAAAAFr/9p4=")</f>
        <v>#REF!</v>
      </c>
      <c r="FD7" t="e">
        <f>AND(#REF!,"AAAAAFr/9p8=")</f>
        <v>#REF!</v>
      </c>
      <c r="FE7" t="e">
        <f>AND(#REF!,"AAAAAFr/9qA=")</f>
        <v>#REF!</v>
      </c>
      <c r="FF7" t="e">
        <f>AND(#REF!,"AAAAAFr/9qE=")</f>
        <v>#REF!</v>
      </c>
      <c r="FG7" t="e">
        <f>IF(#REF!,"AAAAAFr/9qI=",0)</f>
        <v>#REF!</v>
      </c>
      <c r="FH7" t="e">
        <f>AND(#REF!,"AAAAAFr/9qM=")</f>
        <v>#REF!</v>
      </c>
      <c r="FI7" t="e">
        <f>AND(#REF!,"AAAAAFr/9qQ=")</f>
        <v>#REF!</v>
      </c>
      <c r="FJ7" t="e">
        <f>AND(#REF!,"AAAAAFr/9qU=")</f>
        <v>#REF!</v>
      </c>
      <c r="FK7" t="e">
        <f>AND(#REF!,"AAAAAFr/9qY=")</f>
        <v>#REF!</v>
      </c>
      <c r="FL7" t="e">
        <f>AND(#REF!,"AAAAAFr/9qc=")</f>
        <v>#REF!</v>
      </c>
      <c r="FM7" t="e">
        <f>AND(#REF!,"AAAAAFr/9qg=")</f>
        <v>#REF!</v>
      </c>
      <c r="FN7" t="e">
        <f>AND(#REF!,"AAAAAFr/9qk=")</f>
        <v>#REF!</v>
      </c>
      <c r="FO7" t="e">
        <f>AND(#REF!,"AAAAAFr/9qo=")</f>
        <v>#REF!</v>
      </c>
      <c r="FP7" t="e">
        <f>AND(#REF!,"AAAAAFr/9qs=")</f>
        <v>#REF!</v>
      </c>
      <c r="FQ7" t="e">
        <f>AND(#REF!,"AAAAAFr/9qw=")</f>
        <v>#REF!</v>
      </c>
      <c r="FR7" t="e">
        <f>AND(#REF!,"AAAAAFr/9q0=")</f>
        <v>#REF!</v>
      </c>
      <c r="FS7" t="e">
        <f>IF(#REF!,"AAAAAFr/9q4=",0)</f>
        <v>#REF!</v>
      </c>
      <c r="FT7" t="e">
        <f>AND(#REF!,"AAAAAFr/9q8=")</f>
        <v>#REF!</v>
      </c>
      <c r="FU7" t="e">
        <f>AND(#REF!,"AAAAAFr/9rA=")</f>
        <v>#REF!</v>
      </c>
      <c r="FV7" t="e">
        <f>AND(#REF!,"AAAAAFr/9rE=")</f>
        <v>#REF!</v>
      </c>
      <c r="FW7" t="e">
        <f>AND(#REF!,"AAAAAFr/9rI=")</f>
        <v>#REF!</v>
      </c>
      <c r="FX7" t="e">
        <f>AND(#REF!,"AAAAAFr/9rM=")</f>
        <v>#REF!</v>
      </c>
      <c r="FY7" t="e">
        <f>AND(#REF!,"AAAAAFr/9rQ=")</f>
        <v>#REF!</v>
      </c>
      <c r="FZ7" t="e">
        <f>AND(#REF!,"AAAAAFr/9rU=")</f>
        <v>#REF!</v>
      </c>
      <c r="GA7" t="e">
        <f>AND(#REF!,"AAAAAFr/9rY=")</f>
        <v>#REF!</v>
      </c>
      <c r="GB7" t="e">
        <f>AND(#REF!,"AAAAAFr/9rc=")</f>
        <v>#REF!</v>
      </c>
      <c r="GC7" t="e">
        <f>AND(#REF!,"AAAAAFr/9rg=")</f>
        <v>#REF!</v>
      </c>
      <c r="GD7" t="e">
        <f>AND(#REF!,"AAAAAFr/9rk=")</f>
        <v>#REF!</v>
      </c>
      <c r="GE7" t="e">
        <f>IF(#REF!,"AAAAAFr/9ro=",0)</f>
        <v>#REF!</v>
      </c>
      <c r="GF7" t="e">
        <f>AND(#REF!,"AAAAAFr/9rs=")</f>
        <v>#REF!</v>
      </c>
      <c r="GG7" t="e">
        <f>AND(#REF!,"AAAAAFr/9rw=")</f>
        <v>#REF!</v>
      </c>
      <c r="GH7" t="e">
        <f>AND(#REF!,"AAAAAFr/9r0=")</f>
        <v>#REF!</v>
      </c>
      <c r="GI7" t="e">
        <f>AND(#REF!,"AAAAAFr/9r4=")</f>
        <v>#REF!</v>
      </c>
      <c r="GJ7" t="e">
        <f>AND(#REF!,"AAAAAFr/9r8=")</f>
        <v>#REF!</v>
      </c>
      <c r="GK7" t="e">
        <f>AND(#REF!,"AAAAAFr/9sA=")</f>
        <v>#REF!</v>
      </c>
      <c r="GL7" t="e">
        <f>AND(#REF!,"AAAAAFr/9sE=")</f>
        <v>#REF!</v>
      </c>
      <c r="GM7" t="e">
        <f>AND(#REF!,"AAAAAFr/9sI=")</f>
        <v>#REF!</v>
      </c>
      <c r="GN7" t="e">
        <f>AND(#REF!,"AAAAAFr/9sM=")</f>
        <v>#REF!</v>
      </c>
      <c r="GO7" t="e">
        <f>AND(#REF!,"AAAAAFr/9sQ=")</f>
        <v>#REF!</v>
      </c>
      <c r="GP7" t="e">
        <f>AND(#REF!,"AAAAAFr/9sU=")</f>
        <v>#REF!</v>
      </c>
      <c r="GQ7" t="e">
        <f>IF(#REF!,"AAAAAFr/9sY=",0)</f>
        <v>#REF!</v>
      </c>
      <c r="GR7" t="e">
        <f>AND(#REF!,"AAAAAFr/9sc=")</f>
        <v>#REF!</v>
      </c>
      <c r="GS7" t="e">
        <f>AND(#REF!,"AAAAAFr/9sg=")</f>
        <v>#REF!</v>
      </c>
      <c r="GT7" t="e">
        <f>AND(#REF!,"AAAAAFr/9sk=")</f>
        <v>#REF!</v>
      </c>
      <c r="GU7" t="e">
        <f>AND(#REF!,"AAAAAFr/9so=")</f>
        <v>#REF!</v>
      </c>
      <c r="GV7" t="e">
        <f>AND(#REF!,"AAAAAFr/9ss=")</f>
        <v>#REF!</v>
      </c>
      <c r="GW7" t="e">
        <f>AND(#REF!,"AAAAAFr/9sw=")</f>
        <v>#REF!</v>
      </c>
      <c r="GX7" t="e">
        <f>AND(#REF!,"AAAAAFr/9s0=")</f>
        <v>#REF!</v>
      </c>
      <c r="GY7" t="e">
        <f>AND(#REF!,"AAAAAFr/9s4=")</f>
        <v>#REF!</v>
      </c>
      <c r="GZ7" t="e">
        <f>AND(#REF!,"AAAAAFr/9s8=")</f>
        <v>#REF!</v>
      </c>
      <c r="HA7" t="e">
        <f>AND(#REF!,"AAAAAFr/9tA=")</f>
        <v>#REF!</v>
      </c>
      <c r="HB7" t="e">
        <f>AND(#REF!,"AAAAAFr/9tE=")</f>
        <v>#REF!</v>
      </c>
      <c r="HC7" t="e">
        <f>IF(#REF!,"AAAAAFr/9tI=",0)</f>
        <v>#REF!</v>
      </c>
      <c r="HD7" t="e">
        <f>AND(#REF!,"AAAAAFr/9tM=")</f>
        <v>#REF!</v>
      </c>
      <c r="HE7" t="e">
        <f>AND(#REF!,"AAAAAFr/9tQ=")</f>
        <v>#REF!</v>
      </c>
      <c r="HF7" t="e">
        <f>AND(#REF!,"AAAAAFr/9tU=")</f>
        <v>#REF!</v>
      </c>
      <c r="HG7" t="e">
        <f>AND(#REF!,"AAAAAFr/9tY=")</f>
        <v>#REF!</v>
      </c>
      <c r="HH7" t="e">
        <f>AND(#REF!,"AAAAAFr/9tc=")</f>
        <v>#REF!</v>
      </c>
      <c r="HI7" t="e">
        <f>AND(#REF!,"AAAAAFr/9tg=")</f>
        <v>#REF!</v>
      </c>
      <c r="HJ7" t="e">
        <f>AND(#REF!,"AAAAAFr/9tk=")</f>
        <v>#REF!</v>
      </c>
      <c r="HK7" t="e">
        <f>AND(#REF!,"AAAAAFr/9to=")</f>
        <v>#REF!</v>
      </c>
      <c r="HL7" t="e">
        <f>AND(#REF!,"AAAAAFr/9ts=")</f>
        <v>#REF!</v>
      </c>
      <c r="HM7" t="e">
        <f>AND(#REF!,"AAAAAFr/9tw=")</f>
        <v>#REF!</v>
      </c>
      <c r="HN7" t="e">
        <f>AND(#REF!,"AAAAAFr/9t0=")</f>
        <v>#REF!</v>
      </c>
      <c r="HO7" t="e">
        <f>IF(#REF!,"AAAAAFr/9t4=",0)</f>
        <v>#REF!</v>
      </c>
      <c r="HP7" t="e">
        <f>AND(#REF!,"AAAAAFr/9t8=")</f>
        <v>#REF!</v>
      </c>
      <c r="HQ7" t="e">
        <f>AND(#REF!,"AAAAAFr/9uA=")</f>
        <v>#REF!</v>
      </c>
      <c r="HR7" t="e">
        <f>AND(#REF!,"AAAAAFr/9uE=")</f>
        <v>#REF!</v>
      </c>
      <c r="HS7" t="e">
        <f>AND(#REF!,"AAAAAFr/9uI=")</f>
        <v>#REF!</v>
      </c>
      <c r="HT7" t="e">
        <f>AND(#REF!,"AAAAAFr/9uM=")</f>
        <v>#REF!</v>
      </c>
      <c r="HU7" t="e">
        <f>AND(#REF!,"AAAAAFr/9uQ=")</f>
        <v>#REF!</v>
      </c>
      <c r="HV7" t="e">
        <f>AND(#REF!,"AAAAAFr/9uU=")</f>
        <v>#REF!</v>
      </c>
      <c r="HW7" t="e">
        <f>AND(#REF!,"AAAAAFr/9uY=")</f>
        <v>#REF!</v>
      </c>
      <c r="HX7" t="e">
        <f>AND(#REF!,"AAAAAFr/9uc=")</f>
        <v>#REF!</v>
      </c>
      <c r="HY7" t="e">
        <f>AND(#REF!,"AAAAAFr/9ug=")</f>
        <v>#REF!</v>
      </c>
      <c r="HZ7" t="e">
        <f>AND(#REF!,"AAAAAFr/9uk=")</f>
        <v>#REF!</v>
      </c>
      <c r="IA7" t="e">
        <f>IF(#REF!,"AAAAAFr/9uo=",0)</f>
        <v>#REF!</v>
      </c>
      <c r="IB7" t="e">
        <f>AND(#REF!,"AAAAAFr/9us=")</f>
        <v>#REF!</v>
      </c>
      <c r="IC7" t="e">
        <f>AND(#REF!,"AAAAAFr/9uw=")</f>
        <v>#REF!</v>
      </c>
      <c r="ID7" t="e">
        <f>AND(#REF!,"AAAAAFr/9u0=")</f>
        <v>#REF!</v>
      </c>
      <c r="IE7" t="e">
        <f>AND(#REF!,"AAAAAFr/9u4=")</f>
        <v>#REF!</v>
      </c>
      <c r="IF7" t="e">
        <f>AND(#REF!,"AAAAAFr/9u8=")</f>
        <v>#REF!</v>
      </c>
      <c r="IG7" t="e">
        <f>AND(#REF!,"AAAAAFr/9vA=")</f>
        <v>#REF!</v>
      </c>
      <c r="IH7" t="e">
        <f>AND(#REF!,"AAAAAFr/9vE=")</f>
        <v>#REF!</v>
      </c>
      <c r="II7" t="e">
        <f>AND(#REF!,"AAAAAFr/9vI=")</f>
        <v>#REF!</v>
      </c>
      <c r="IJ7" t="e">
        <f>AND(#REF!,"AAAAAFr/9vM=")</f>
        <v>#REF!</v>
      </c>
      <c r="IK7" t="e">
        <f>AND(#REF!,"AAAAAFr/9vQ=")</f>
        <v>#REF!</v>
      </c>
      <c r="IL7" t="e">
        <f>AND(#REF!,"AAAAAFr/9vU=")</f>
        <v>#REF!</v>
      </c>
      <c r="IM7" t="e">
        <f>IF(#REF!,"AAAAAFr/9vY=",0)</f>
        <v>#REF!</v>
      </c>
      <c r="IN7" t="e">
        <f>AND(#REF!,"AAAAAFr/9vc=")</f>
        <v>#REF!</v>
      </c>
      <c r="IO7" t="e">
        <f>AND(#REF!,"AAAAAFr/9vg=")</f>
        <v>#REF!</v>
      </c>
      <c r="IP7" t="e">
        <f>AND(#REF!,"AAAAAFr/9vk=")</f>
        <v>#REF!</v>
      </c>
      <c r="IQ7" t="e">
        <f>AND(#REF!,"AAAAAFr/9vo=")</f>
        <v>#REF!</v>
      </c>
      <c r="IR7" t="e">
        <f>AND(#REF!,"AAAAAFr/9vs=")</f>
        <v>#REF!</v>
      </c>
      <c r="IS7" t="e">
        <f>AND(#REF!,"AAAAAFr/9vw=")</f>
        <v>#REF!</v>
      </c>
      <c r="IT7" t="e">
        <f>AND(#REF!,"AAAAAFr/9v0=")</f>
        <v>#REF!</v>
      </c>
      <c r="IU7" t="e">
        <f>AND(#REF!,"AAAAAFr/9v4=")</f>
        <v>#REF!</v>
      </c>
      <c r="IV7" t="e">
        <f>AND(#REF!,"AAAAAFr/9v8=")</f>
        <v>#REF!</v>
      </c>
    </row>
    <row r="8" spans="1:256" x14ac:dyDescent="0.3">
      <c r="A8" t="e">
        <f>AND(#REF!,"AAAAAFqffQA=")</f>
        <v>#REF!</v>
      </c>
      <c r="B8" t="e">
        <f>AND(#REF!,"AAAAAFqffQE=")</f>
        <v>#REF!</v>
      </c>
      <c r="C8" t="e">
        <f>IF(#REF!,"AAAAAFqffQI=",0)</f>
        <v>#REF!</v>
      </c>
      <c r="D8" t="e">
        <f>AND(#REF!,"AAAAAFqffQM=")</f>
        <v>#REF!</v>
      </c>
      <c r="E8" t="e">
        <f>AND(#REF!,"AAAAAFqffQQ=")</f>
        <v>#REF!</v>
      </c>
      <c r="F8" t="e">
        <f>AND(#REF!,"AAAAAFqffQU=")</f>
        <v>#REF!</v>
      </c>
      <c r="G8" t="e">
        <f>AND(#REF!,"AAAAAFqffQY=")</f>
        <v>#REF!</v>
      </c>
      <c r="H8" t="e">
        <f>AND(#REF!,"AAAAAFqffQc=")</f>
        <v>#REF!</v>
      </c>
      <c r="I8" t="e">
        <f>AND(#REF!,"AAAAAFqffQg=")</f>
        <v>#REF!</v>
      </c>
      <c r="J8" t="e">
        <f>AND(#REF!,"AAAAAFqffQk=")</f>
        <v>#REF!</v>
      </c>
      <c r="K8" t="e">
        <f>AND(#REF!,"AAAAAFqffQo=")</f>
        <v>#REF!</v>
      </c>
      <c r="L8" t="e">
        <f>AND(#REF!,"AAAAAFqffQs=")</f>
        <v>#REF!</v>
      </c>
      <c r="M8" t="e">
        <f>AND(#REF!,"AAAAAFqffQw=")</f>
        <v>#REF!</v>
      </c>
      <c r="N8" t="e">
        <f>AND(#REF!,"AAAAAFqffQ0=")</f>
        <v>#REF!</v>
      </c>
      <c r="O8" t="e">
        <f>IF(#REF!,"AAAAAFqffQ4=",0)</f>
        <v>#REF!</v>
      </c>
      <c r="P8" t="e">
        <f>AND(#REF!,"AAAAAFqffQ8=")</f>
        <v>#REF!</v>
      </c>
      <c r="Q8" t="e">
        <f>AND(#REF!,"AAAAAFqffRA=")</f>
        <v>#REF!</v>
      </c>
      <c r="R8" t="e">
        <f>AND(#REF!,"AAAAAFqffRE=")</f>
        <v>#REF!</v>
      </c>
      <c r="S8" t="e">
        <f>AND(#REF!,"AAAAAFqffRI=")</f>
        <v>#REF!</v>
      </c>
      <c r="T8" t="e">
        <f>AND(#REF!,"AAAAAFqffRM=")</f>
        <v>#REF!</v>
      </c>
      <c r="U8" t="e">
        <f>AND(#REF!,"AAAAAFqffRQ=")</f>
        <v>#REF!</v>
      </c>
      <c r="V8" t="e">
        <f>AND(#REF!,"AAAAAFqffRU=")</f>
        <v>#REF!</v>
      </c>
      <c r="W8" t="e">
        <f>AND(#REF!,"AAAAAFqffRY=")</f>
        <v>#REF!</v>
      </c>
      <c r="X8" t="e">
        <f>AND(#REF!,"AAAAAFqffRc=")</f>
        <v>#REF!</v>
      </c>
      <c r="Y8" t="e">
        <f>AND(#REF!,"AAAAAFqffRg=")</f>
        <v>#REF!</v>
      </c>
      <c r="Z8" t="e">
        <f>AND(#REF!,"AAAAAFqffRk=")</f>
        <v>#REF!</v>
      </c>
      <c r="AA8" t="e">
        <f>IF(#REF!,"AAAAAFqffRo=",0)</f>
        <v>#REF!</v>
      </c>
      <c r="AB8" t="e">
        <f>AND(#REF!,"AAAAAFqffRs=")</f>
        <v>#REF!</v>
      </c>
      <c r="AC8" t="e">
        <f>AND(#REF!,"AAAAAFqffRw=")</f>
        <v>#REF!</v>
      </c>
      <c r="AD8" t="e">
        <f>AND(#REF!,"AAAAAFqffR0=")</f>
        <v>#REF!</v>
      </c>
      <c r="AE8" t="e">
        <f>AND(#REF!,"AAAAAFqffR4=")</f>
        <v>#REF!</v>
      </c>
      <c r="AF8" t="e">
        <f>AND(#REF!,"AAAAAFqffR8=")</f>
        <v>#REF!</v>
      </c>
      <c r="AG8" t="e">
        <f>AND(#REF!,"AAAAAFqffSA=")</f>
        <v>#REF!</v>
      </c>
      <c r="AH8" t="e">
        <f>AND(#REF!,"AAAAAFqffSE=")</f>
        <v>#REF!</v>
      </c>
      <c r="AI8" t="e">
        <f>AND(#REF!,"AAAAAFqffSI=")</f>
        <v>#REF!</v>
      </c>
      <c r="AJ8" t="e">
        <f>AND(#REF!,"AAAAAFqffSM=")</f>
        <v>#REF!</v>
      </c>
      <c r="AK8" t="e">
        <f>AND(#REF!,"AAAAAFqffSQ=")</f>
        <v>#REF!</v>
      </c>
      <c r="AL8" t="e">
        <f>AND(#REF!,"AAAAAFqffSU=")</f>
        <v>#REF!</v>
      </c>
      <c r="AM8" t="e">
        <f>IF(#REF!,"AAAAAFqffSY=",0)</f>
        <v>#REF!</v>
      </c>
      <c r="AN8" t="e">
        <f>AND(#REF!,"AAAAAFqffSc=")</f>
        <v>#REF!</v>
      </c>
      <c r="AO8" t="e">
        <f>AND(#REF!,"AAAAAFqffSg=")</f>
        <v>#REF!</v>
      </c>
      <c r="AP8" t="e">
        <f>AND(#REF!,"AAAAAFqffSk=")</f>
        <v>#REF!</v>
      </c>
      <c r="AQ8" t="e">
        <f>AND(#REF!,"AAAAAFqffSo=")</f>
        <v>#REF!</v>
      </c>
      <c r="AR8" t="e">
        <f>AND(#REF!,"AAAAAFqffSs=")</f>
        <v>#REF!</v>
      </c>
      <c r="AS8" t="e">
        <f>AND(#REF!,"AAAAAFqffSw=")</f>
        <v>#REF!</v>
      </c>
      <c r="AT8" t="e">
        <f>AND(#REF!,"AAAAAFqffS0=")</f>
        <v>#REF!</v>
      </c>
      <c r="AU8" t="e">
        <f>AND(#REF!,"AAAAAFqffS4=")</f>
        <v>#REF!</v>
      </c>
      <c r="AV8" t="e">
        <f>AND(#REF!,"AAAAAFqffS8=")</f>
        <v>#REF!</v>
      </c>
      <c r="AW8" t="e">
        <f>AND(#REF!,"AAAAAFqffTA=")</f>
        <v>#REF!</v>
      </c>
      <c r="AX8" t="e">
        <f>AND(#REF!,"AAAAAFqffTE=")</f>
        <v>#REF!</v>
      </c>
      <c r="AY8" t="e">
        <f>IF(#REF!,"AAAAAFqffTI=",0)</f>
        <v>#REF!</v>
      </c>
      <c r="AZ8" t="e">
        <f>AND(#REF!,"AAAAAFqffTM=")</f>
        <v>#REF!</v>
      </c>
      <c r="BA8" t="e">
        <f>AND(#REF!,"AAAAAFqffTQ=")</f>
        <v>#REF!</v>
      </c>
      <c r="BB8" t="e">
        <f>AND(#REF!,"AAAAAFqffTU=")</f>
        <v>#REF!</v>
      </c>
      <c r="BC8" t="e">
        <f>AND(#REF!,"AAAAAFqffTY=")</f>
        <v>#REF!</v>
      </c>
      <c r="BD8" t="e">
        <f>AND(#REF!,"AAAAAFqffTc=")</f>
        <v>#REF!</v>
      </c>
      <c r="BE8" t="e">
        <f>AND(#REF!,"AAAAAFqffTg=")</f>
        <v>#REF!</v>
      </c>
      <c r="BF8" t="e">
        <f>AND(#REF!,"AAAAAFqffTk=")</f>
        <v>#REF!</v>
      </c>
      <c r="BG8" t="e">
        <f>AND(#REF!,"AAAAAFqffTo=")</f>
        <v>#REF!</v>
      </c>
      <c r="BH8" t="e">
        <f>AND(#REF!,"AAAAAFqffTs=")</f>
        <v>#REF!</v>
      </c>
      <c r="BI8" t="e">
        <f>AND(#REF!,"AAAAAFqffTw=")</f>
        <v>#REF!</v>
      </c>
      <c r="BJ8" t="e">
        <f>AND(#REF!,"AAAAAFqffT0=")</f>
        <v>#REF!</v>
      </c>
      <c r="BK8" t="e">
        <f>IF(#REF!,"AAAAAFqffT4=",0)</f>
        <v>#REF!</v>
      </c>
      <c r="BL8" t="e">
        <f>AND(#REF!,"AAAAAFqffT8=")</f>
        <v>#REF!</v>
      </c>
      <c r="BM8" t="e">
        <f>AND(#REF!,"AAAAAFqffUA=")</f>
        <v>#REF!</v>
      </c>
      <c r="BN8" t="e">
        <f>AND(#REF!,"AAAAAFqffUE=")</f>
        <v>#REF!</v>
      </c>
      <c r="BO8" t="e">
        <f>AND(#REF!,"AAAAAFqffUI=")</f>
        <v>#REF!</v>
      </c>
      <c r="BP8" t="e">
        <f>AND(#REF!,"AAAAAFqffUM=")</f>
        <v>#REF!</v>
      </c>
      <c r="BQ8" t="e">
        <f>AND(#REF!,"AAAAAFqffUQ=")</f>
        <v>#REF!</v>
      </c>
      <c r="BR8" t="e">
        <f>AND(#REF!,"AAAAAFqffUU=")</f>
        <v>#REF!</v>
      </c>
      <c r="BS8" t="e">
        <f>AND(#REF!,"AAAAAFqffUY=")</f>
        <v>#REF!</v>
      </c>
      <c r="BT8" t="e">
        <f>AND(#REF!,"AAAAAFqffUc=")</f>
        <v>#REF!</v>
      </c>
      <c r="BU8" t="e">
        <f>AND(#REF!,"AAAAAFqffUg=")</f>
        <v>#REF!</v>
      </c>
      <c r="BV8" t="e">
        <f>AND(#REF!,"AAAAAFqffUk=")</f>
        <v>#REF!</v>
      </c>
      <c r="BW8" t="e">
        <f>IF(#REF!,"AAAAAFqffUo=",0)</f>
        <v>#REF!</v>
      </c>
      <c r="BX8" t="e">
        <f>AND(#REF!,"AAAAAFqffUs=")</f>
        <v>#REF!</v>
      </c>
      <c r="BY8" t="e">
        <f>AND(#REF!,"AAAAAFqffUw=")</f>
        <v>#REF!</v>
      </c>
      <c r="BZ8" t="e">
        <f>AND(#REF!,"AAAAAFqffU0=")</f>
        <v>#REF!</v>
      </c>
      <c r="CA8" t="e">
        <f>AND(#REF!,"AAAAAFqffU4=")</f>
        <v>#REF!</v>
      </c>
      <c r="CB8" t="e">
        <f>AND(#REF!,"AAAAAFqffU8=")</f>
        <v>#REF!</v>
      </c>
      <c r="CC8" t="e">
        <f>AND(#REF!,"AAAAAFqffVA=")</f>
        <v>#REF!</v>
      </c>
      <c r="CD8" t="e">
        <f>AND(#REF!,"AAAAAFqffVE=")</f>
        <v>#REF!</v>
      </c>
      <c r="CE8" t="e">
        <f>AND(#REF!,"AAAAAFqffVI=")</f>
        <v>#REF!</v>
      </c>
      <c r="CF8" t="e">
        <f>AND(#REF!,"AAAAAFqffVM=")</f>
        <v>#REF!</v>
      </c>
      <c r="CG8" t="e">
        <f>AND(#REF!,"AAAAAFqffVQ=")</f>
        <v>#REF!</v>
      </c>
      <c r="CH8" t="e">
        <f>AND(#REF!,"AAAAAFqffVU=")</f>
        <v>#REF!</v>
      </c>
      <c r="CI8" t="e">
        <f>IF(#REF!,"AAAAAFqffVY=",0)</f>
        <v>#REF!</v>
      </c>
      <c r="CJ8" t="e">
        <f>AND(#REF!,"AAAAAFqffVc=")</f>
        <v>#REF!</v>
      </c>
      <c r="CK8" t="e">
        <f>AND(#REF!,"AAAAAFqffVg=")</f>
        <v>#REF!</v>
      </c>
      <c r="CL8" t="e">
        <f>AND(#REF!,"AAAAAFqffVk=")</f>
        <v>#REF!</v>
      </c>
      <c r="CM8" t="e">
        <f>AND(#REF!,"AAAAAFqffVo=")</f>
        <v>#REF!</v>
      </c>
      <c r="CN8" t="e">
        <f>AND(#REF!,"AAAAAFqffVs=")</f>
        <v>#REF!</v>
      </c>
      <c r="CO8" t="e">
        <f>AND(#REF!,"AAAAAFqffVw=")</f>
        <v>#REF!</v>
      </c>
      <c r="CP8" t="e">
        <f>AND(#REF!,"AAAAAFqffV0=")</f>
        <v>#REF!</v>
      </c>
      <c r="CQ8" t="e">
        <f>AND(#REF!,"AAAAAFqffV4=")</f>
        <v>#REF!</v>
      </c>
      <c r="CR8" t="e">
        <f>AND(#REF!,"AAAAAFqffV8=")</f>
        <v>#REF!</v>
      </c>
      <c r="CS8" t="e">
        <f>AND(#REF!,"AAAAAFqffWA=")</f>
        <v>#REF!</v>
      </c>
      <c r="CT8" t="e">
        <f>AND(#REF!,"AAAAAFqffWE=")</f>
        <v>#REF!</v>
      </c>
      <c r="CU8" t="e">
        <f>IF(#REF!,"AAAAAFqffWI=",0)</f>
        <v>#REF!</v>
      </c>
      <c r="CV8" t="e">
        <f>AND(#REF!,"AAAAAFqffWM=")</f>
        <v>#REF!</v>
      </c>
      <c r="CW8" t="e">
        <f>AND(#REF!,"AAAAAFqffWQ=")</f>
        <v>#REF!</v>
      </c>
      <c r="CX8" t="e">
        <f>AND(#REF!,"AAAAAFqffWU=")</f>
        <v>#REF!</v>
      </c>
      <c r="CY8" t="e">
        <f>AND(#REF!,"AAAAAFqffWY=")</f>
        <v>#REF!</v>
      </c>
      <c r="CZ8" t="e">
        <f>AND(#REF!,"AAAAAFqffWc=")</f>
        <v>#REF!</v>
      </c>
      <c r="DA8" t="e">
        <f>AND(#REF!,"AAAAAFqffWg=")</f>
        <v>#REF!</v>
      </c>
      <c r="DB8" t="e">
        <f>AND(#REF!,"AAAAAFqffWk=")</f>
        <v>#REF!</v>
      </c>
      <c r="DC8" t="e">
        <f>AND(#REF!,"AAAAAFqffWo=")</f>
        <v>#REF!</v>
      </c>
      <c r="DD8" t="e">
        <f>AND(#REF!,"AAAAAFqffWs=")</f>
        <v>#REF!</v>
      </c>
      <c r="DE8" t="e">
        <f>AND(#REF!,"AAAAAFqffWw=")</f>
        <v>#REF!</v>
      </c>
      <c r="DF8" t="e">
        <f>AND(#REF!,"AAAAAFqffW0=")</f>
        <v>#REF!</v>
      </c>
      <c r="DG8" t="e">
        <f>IF(#REF!,"AAAAAFqffW4=",0)</f>
        <v>#REF!</v>
      </c>
      <c r="DH8" t="e">
        <f>AND(#REF!,"AAAAAFqffW8=")</f>
        <v>#REF!</v>
      </c>
      <c r="DI8" t="e">
        <f>AND(#REF!,"AAAAAFqffXA=")</f>
        <v>#REF!</v>
      </c>
      <c r="DJ8" t="e">
        <f>AND(#REF!,"AAAAAFqffXE=")</f>
        <v>#REF!</v>
      </c>
      <c r="DK8" t="e">
        <f>AND(#REF!,"AAAAAFqffXI=")</f>
        <v>#REF!</v>
      </c>
      <c r="DL8" t="e">
        <f>AND(#REF!,"AAAAAFqffXM=")</f>
        <v>#REF!</v>
      </c>
      <c r="DM8" t="e">
        <f>AND(#REF!,"AAAAAFqffXQ=")</f>
        <v>#REF!</v>
      </c>
      <c r="DN8" t="e">
        <f>AND(#REF!,"AAAAAFqffXU=")</f>
        <v>#REF!</v>
      </c>
      <c r="DO8" t="e">
        <f>AND(#REF!,"AAAAAFqffXY=")</f>
        <v>#REF!</v>
      </c>
      <c r="DP8" t="e">
        <f>AND(#REF!,"AAAAAFqffXc=")</f>
        <v>#REF!</v>
      </c>
      <c r="DQ8" t="e">
        <f>AND(#REF!,"AAAAAFqffXg=")</f>
        <v>#REF!</v>
      </c>
      <c r="DR8" t="e">
        <f>AND(#REF!,"AAAAAFqffXk=")</f>
        <v>#REF!</v>
      </c>
      <c r="DS8" t="e">
        <f>IF(#REF!,"AAAAAFqffXo=",0)</f>
        <v>#REF!</v>
      </c>
      <c r="DT8" t="e">
        <f>AND(#REF!,"AAAAAFqffXs=")</f>
        <v>#REF!</v>
      </c>
      <c r="DU8" t="e">
        <f>AND(#REF!,"AAAAAFqffXw=")</f>
        <v>#REF!</v>
      </c>
      <c r="DV8" t="e">
        <f>AND(#REF!,"AAAAAFqffX0=")</f>
        <v>#REF!</v>
      </c>
      <c r="DW8" t="e">
        <f>AND(#REF!,"AAAAAFqffX4=")</f>
        <v>#REF!</v>
      </c>
      <c r="DX8" t="e">
        <f>AND(#REF!,"AAAAAFqffX8=")</f>
        <v>#REF!</v>
      </c>
      <c r="DY8" t="e">
        <f>AND(#REF!,"AAAAAFqffYA=")</f>
        <v>#REF!</v>
      </c>
      <c r="DZ8" t="e">
        <f>AND(#REF!,"AAAAAFqffYE=")</f>
        <v>#REF!</v>
      </c>
      <c r="EA8" t="e">
        <f>AND(#REF!,"AAAAAFqffYI=")</f>
        <v>#REF!</v>
      </c>
      <c r="EB8" t="e">
        <f>AND(#REF!,"AAAAAFqffYM=")</f>
        <v>#REF!</v>
      </c>
      <c r="EC8" t="e">
        <f>AND(#REF!,"AAAAAFqffYQ=")</f>
        <v>#REF!</v>
      </c>
      <c r="ED8" t="e">
        <f>AND(#REF!,"AAAAAFqffYU=")</f>
        <v>#REF!</v>
      </c>
      <c r="EE8" t="e">
        <f>IF(#REF!,"AAAAAFqffYY=",0)</f>
        <v>#REF!</v>
      </c>
      <c r="EF8" t="e">
        <f>AND(#REF!,"AAAAAFqffYc=")</f>
        <v>#REF!</v>
      </c>
      <c r="EG8" t="e">
        <f>AND(#REF!,"AAAAAFqffYg=")</f>
        <v>#REF!</v>
      </c>
      <c r="EH8" t="e">
        <f>AND(#REF!,"AAAAAFqffYk=")</f>
        <v>#REF!</v>
      </c>
      <c r="EI8" t="e">
        <f>AND(#REF!,"AAAAAFqffYo=")</f>
        <v>#REF!</v>
      </c>
      <c r="EJ8" t="e">
        <f>AND(#REF!,"AAAAAFqffYs=")</f>
        <v>#REF!</v>
      </c>
      <c r="EK8" t="e">
        <f>AND(#REF!,"AAAAAFqffYw=")</f>
        <v>#REF!</v>
      </c>
      <c r="EL8" t="e">
        <f>AND(#REF!,"AAAAAFqffY0=")</f>
        <v>#REF!</v>
      </c>
      <c r="EM8" t="e">
        <f>AND(#REF!,"AAAAAFqffY4=")</f>
        <v>#REF!</v>
      </c>
      <c r="EN8" t="e">
        <f>AND(#REF!,"AAAAAFqffY8=")</f>
        <v>#REF!</v>
      </c>
      <c r="EO8" t="e">
        <f>AND(#REF!,"AAAAAFqffZA=")</f>
        <v>#REF!</v>
      </c>
      <c r="EP8" t="e">
        <f>AND(#REF!,"AAAAAFqffZE=")</f>
        <v>#REF!</v>
      </c>
      <c r="EQ8" t="e">
        <f>IF(#REF!,"AAAAAFqffZI=",0)</f>
        <v>#REF!</v>
      </c>
      <c r="ER8" t="e">
        <f>AND(#REF!,"AAAAAFqffZM=")</f>
        <v>#REF!</v>
      </c>
      <c r="ES8" t="e">
        <f>AND(#REF!,"AAAAAFqffZQ=")</f>
        <v>#REF!</v>
      </c>
      <c r="ET8" t="e">
        <f>AND(#REF!,"AAAAAFqffZU=")</f>
        <v>#REF!</v>
      </c>
      <c r="EU8" t="e">
        <f>AND(#REF!,"AAAAAFqffZY=")</f>
        <v>#REF!</v>
      </c>
      <c r="EV8" t="e">
        <f>AND(#REF!,"AAAAAFqffZc=")</f>
        <v>#REF!</v>
      </c>
      <c r="EW8" t="e">
        <f>AND(#REF!,"AAAAAFqffZg=")</f>
        <v>#REF!</v>
      </c>
      <c r="EX8" t="e">
        <f>AND(#REF!,"AAAAAFqffZk=")</f>
        <v>#REF!</v>
      </c>
      <c r="EY8" t="e">
        <f>AND(#REF!,"AAAAAFqffZo=")</f>
        <v>#REF!</v>
      </c>
      <c r="EZ8" t="e">
        <f>AND(#REF!,"AAAAAFqffZs=")</f>
        <v>#REF!</v>
      </c>
      <c r="FA8" t="e">
        <f>AND(#REF!,"AAAAAFqffZw=")</f>
        <v>#REF!</v>
      </c>
      <c r="FB8" t="e">
        <f>AND(#REF!,"AAAAAFqffZ0=")</f>
        <v>#REF!</v>
      </c>
      <c r="FC8" t="e">
        <f>IF(#REF!,"AAAAAFqffZ4=",0)</f>
        <v>#REF!</v>
      </c>
      <c r="FD8" t="e">
        <f>AND(#REF!,"AAAAAFqffZ8=")</f>
        <v>#REF!</v>
      </c>
      <c r="FE8" t="e">
        <f>AND(#REF!,"AAAAAFqffaA=")</f>
        <v>#REF!</v>
      </c>
      <c r="FF8" t="e">
        <f>AND(#REF!,"AAAAAFqffaE=")</f>
        <v>#REF!</v>
      </c>
      <c r="FG8" t="e">
        <f>AND(#REF!,"AAAAAFqffaI=")</f>
        <v>#REF!</v>
      </c>
      <c r="FH8" t="e">
        <f>AND(#REF!,"AAAAAFqffaM=")</f>
        <v>#REF!</v>
      </c>
      <c r="FI8" t="e">
        <f>AND(#REF!,"AAAAAFqffaQ=")</f>
        <v>#REF!</v>
      </c>
      <c r="FJ8" t="e">
        <f>AND(#REF!,"AAAAAFqffaU=")</f>
        <v>#REF!</v>
      </c>
      <c r="FK8" t="e">
        <f>AND(#REF!,"AAAAAFqffaY=")</f>
        <v>#REF!</v>
      </c>
      <c r="FL8" t="e">
        <f>AND(#REF!,"AAAAAFqffac=")</f>
        <v>#REF!</v>
      </c>
      <c r="FM8" t="e">
        <f>AND(#REF!,"AAAAAFqffag=")</f>
        <v>#REF!</v>
      </c>
      <c r="FN8" t="e">
        <f>AND(#REF!,"AAAAAFqffak=")</f>
        <v>#REF!</v>
      </c>
      <c r="FO8" t="e">
        <f>IF(#REF!,"AAAAAFqffao=",0)</f>
        <v>#REF!</v>
      </c>
      <c r="FP8" t="e">
        <f>AND(#REF!,"AAAAAFqffas=")</f>
        <v>#REF!</v>
      </c>
      <c r="FQ8" t="e">
        <f>AND(#REF!,"AAAAAFqffaw=")</f>
        <v>#REF!</v>
      </c>
      <c r="FR8" t="e">
        <f>AND(#REF!,"AAAAAFqffa0=")</f>
        <v>#REF!</v>
      </c>
      <c r="FS8" t="e">
        <f>AND(#REF!,"AAAAAFqffa4=")</f>
        <v>#REF!</v>
      </c>
      <c r="FT8" t="e">
        <f>AND(#REF!,"AAAAAFqffa8=")</f>
        <v>#REF!</v>
      </c>
      <c r="FU8" t="e">
        <f>AND(#REF!,"AAAAAFqffbA=")</f>
        <v>#REF!</v>
      </c>
      <c r="FV8" t="e">
        <f>AND(#REF!,"AAAAAFqffbE=")</f>
        <v>#REF!</v>
      </c>
      <c r="FW8" t="e">
        <f>AND(#REF!,"AAAAAFqffbI=")</f>
        <v>#REF!</v>
      </c>
      <c r="FX8" t="e">
        <f>AND(#REF!,"AAAAAFqffbM=")</f>
        <v>#REF!</v>
      </c>
      <c r="FY8" t="e">
        <f>AND(#REF!,"AAAAAFqffbQ=")</f>
        <v>#REF!</v>
      </c>
      <c r="FZ8" t="e">
        <f>AND(#REF!,"AAAAAFqffbU=")</f>
        <v>#REF!</v>
      </c>
      <c r="GA8" t="e">
        <f>IF(#REF!,"AAAAAFqffbY=",0)</f>
        <v>#REF!</v>
      </c>
      <c r="GB8" t="e">
        <f>AND(#REF!,"AAAAAFqffbc=")</f>
        <v>#REF!</v>
      </c>
      <c r="GC8" t="e">
        <f>AND(#REF!,"AAAAAFqffbg=")</f>
        <v>#REF!</v>
      </c>
      <c r="GD8" t="e">
        <f>AND(#REF!,"AAAAAFqffbk=")</f>
        <v>#REF!</v>
      </c>
      <c r="GE8" t="e">
        <f>AND(#REF!,"AAAAAFqffbo=")</f>
        <v>#REF!</v>
      </c>
      <c r="GF8" t="e">
        <f>AND(#REF!,"AAAAAFqffbs=")</f>
        <v>#REF!</v>
      </c>
      <c r="GG8" t="e">
        <f>AND(#REF!,"AAAAAFqffbw=")</f>
        <v>#REF!</v>
      </c>
      <c r="GH8" t="e">
        <f>AND(#REF!,"AAAAAFqffb0=")</f>
        <v>#REF!</v>
      </c>
      <c r="GI8" t="e">
        <f>AND(#REF!,"AAAAAFqffb4=")</f>
        <v>#REF!</v>
      </c>
      <c r="GJ8" t="e">
        <f>AND(#REF!,"AAAAAFqffb8=")</f>
        <v>#REF!</v>
      </c>
      <c r="GK8" t="e">
        <f>AND(#REF!,"AAAAAFqffcA=")</f>
        <v>#REF!</v>
      </c>
      <c r="GL8" t="e">
        <f>AND(#REF!,"AAAAAFqffcE=")</f>
        <v>#REF!</v>
      </c>
      <c r="GM8" t="e">
        <f>IF(#REF!,"AAAAAFqffcI=",0)</f>
        <v>#REF!</v>
      </c>
      <c r="GN8" t="e">
        <f>AND(#REF!,"AAAAAFqffcM=")</f>
        <v>#REF!</v>
      </c>
      <c r="GO8" t="e">
        <f>AND(#REF!,"AAAAAFqffcQ=")</f>
        <v>#REF!</v>
      </c>
      <c r="GP8" t="e">
        <f>AND(#REF!,"AAAAAFqffcU=")</f>
        <v>#REF!</v>
      </c>
      <c r="GQ8" t="e">
        <f>AND(#REF!,"AAAAAFqffcY=")</f>
        <v>#REF!</v>
      </c>
      <c r="GR8" t="e">
        <f>AND(#REF!,"AAAAAFqffcc=")</f>
        <v>#REF!</v>
      </c>
      <c r="GS8" t="e">
        <f>AND(#REF!,"AAAAAFqffcg=")</f>
        <v>#REF!</v>
      </c>
      <c r="GT8" t="e">
        <f>AND(#REF!,"AAAAAFqffck=")</f>
        <v>#REF!</v>
      </c>
      <c r="GU8" t="e">
        <f>AND(#REF!,"AAAAAFqffco=")</f>
        <v>#REF!</v>
      </c>
      <c r="GV8" t="e">
        <f>AND(#REF!,"AAAAAFqffcs=")</f>
        <v>#REF!</v>
      </c>
      <c r="GW8" t="e">
        <f>AND(#REF!,"AAAAAFqffcw=")</f>
        <v>#REF!</v>
      </c>
      <c r="GX8" t="e">
        <f>AND(#REF!,"AAAAAFqffc0=")</f>
        <v>#REF!</v>
      </c>
      <c r="GY8" t="e">
        <f>IF(#REF!,"AAAAAFqffc4=",0)</f>
        <v>#REF!</v>
      </c>
      <c r="GZ8" t="e">
        <f>AND(#REF!,"AAAAAFqffc8=")</f>
        <v>#REF!</v>
      </c>
      <c r="HA8" t="e">
        <f>AND(#REF!,"AAAAAFqffdA=")</f>
        <v>#REF!</v>
      </c>
      <c r="HB8" t="e">
        <f>AND(#REF!,"AAAAAFqffdE=")</f>
        <v>#REF!</v>
      </c>
      <c r="HC8" t="e">
        <f>AND(#REF!,"AAAAAFqffdI=")</f>
        <v>#REF!</v>
      </c>
      <c r="HD8" t="e">
        <f>AND(#REF!,"AAAAAFqffdM=")</f>
        <v>#REF!</v>
      </c>
      <c r="HE8" t="e">
        <f>AND(#REF!,"AAAAAFqffdQ=")</f>
        <v>#REF!</v>
      </c>
      <c r="HF8" t="e">
        <f>AND(#REF!,"AAAAAFqffdU=")</f>
        <v>#REF!</v>
      </c>
      <c r="HG8" t="e">
        <f>AND(#REF!,"AAAAAFqffdY=")</f>
        <v>#REF!</v>
      </c>
      <c r="HH8" t="e">
        <f>AND(#REF!,"AAAAAFqffdc=")</f>
        <v>#REF!</v>
      </c>
      <c r="HI8" t="e">
        <f>AND(#REF!,"AAAAAFqffdg=")</f>
        <v>#REF!</v>
      </c>
      <c r="HJ8" t="e">
        <f>AND(#REF!,"AAAAAFqffdk=")</f>
        <v>#REF!</v>
      </c>
      <c r="HK8" t="e">
        <f>IF(#REF!,"AAAAAFqffdo=",0)</f>
        <v>#REF!</v>
      </c>
      <c r="HL8" t="e">
        <f>AND(#REF!,"AAAAAFqffds=")</f>
        <v>#REF!</v>
      </c>
      <c r="HM8" t="e">
        <f>AND(#REF!,"AAAAAFqffdw=")</f>
        <v>#REF!</v>
      </c>
      <c r="HN8" t="e">
        <f>AND(#REF!,"AAAAAFqffd0=")</f>
        <v>#REF!</v>
      </c>
      <c r="HO8" t="e">
        <f>AND(#REF!,"AAAAAFqffd4=")</f>
        <v>#REF!</v>
      </c>
      <c r="HP8" t="e">
        <f>AND(#REF!,"AAAAAFqffd8=")</f>
        <v>#REF!</v>
      </c>
      <c r="HQ8" t="e">
        <f>AND(#REF!,"AAAAAFqffeA=")</f>
        <v>#REF!</v>
      </c>
      <c r="HR8" t="e">
        <f>AND(#REF!,"AAAAAFqffeE=")</f>
        <v>#REF!</v>
      </c>
      <c r="HS8" t="e">
        <f>AND(#REF!,"AAAAAFqffeI=")</f>
        <v>#REF!</v>
      </c>
      <c r="HT8" t="e">
        <f>AND(#REF!,"AAAAAFqffeM=")</f>
        <v>#REF!</v>
      </c>
      <c r="HU8" t="e">
        <f>AND(#REF!,"AAAAAFqffeQ=")</f>
        <v>#REF!</v>
      </c>
      <c r="HV8" t="e">
        <f>AND(#REF!,"AAAAAFqffeU=")</f>
        <v>#REF!</v>
      </c>
      <c r="HW8" t="e">
        <f>IF(#REF!,"AAAAAFqffeY=",0)</f>
        <v>#REF!</v>
      </c>
      <c r="HX8" t="e">
        <f>AND(#REF!,"AAAAAFqffec=")</f>
        <v>#REF!</v>
      </c>
      <c r="HY8" t="e">
        <f>AND(#REF!,"AAAAAFqffeg=")</f>
        <v>#REF!</v>
      </c>
      <c r="HZ8" t="e">
        <f>AND(#REF!,"AAAAAFqffek=")</f>
        <v>#REF!</v>
      </c>
      <c r="IA8" t="e">
        <f>AND(#REF!,"AAAAAFqffeo=")</f>
        <v>#REF!</v>
      </c>
      <c r="IB8" t="e">
        <f>AND(#REF!,"AAAAAFqffes=")</f>
        <v>#REF!</v>
      </c>
      <c r="IC8" t="e">
        <f>AND(#REF!,"AAAAAFqffew=")</f>
        <v>#REF!</v>
      </c>
      <c r="ID8" t="e">
        <f>AND(#REF!,"AAAAAFqffe0=")</f>
        <v>#REF!</v>
      </c>
      <c r="IE8" t="e">
        <f>AND(#REF!,"AAAAAFqffe4=")</f>
        <v>#REF!</v>
      </c>
      <c r="IF8" t="e">
        <f>AND(#REF!,"AAAAAFqffe8=")</f>
        <v>#REF!</v>
      </c>
      <c r="IG8" t="e">
        <f>AND(#REF!,"AAAAAFqfffA=")</f>
        <v>#REF!</v>
      </c>
      <c r="IH8" t="e">
        <f>AND(#REF!,"AAAAAFqfffE=")</f>
        <v>#REF!</v>
      </c>
      <c r="II8" t="e">
        <f>IF(#REF!,"AAAAAFqfffI=",0)</f>
        <v>#REF!</v>
      </c>
      <c r="IJ8" t="e">
        <f>AND(#REF!,"AAAAAFqfffM=")</f>
        <v>#REF!</v>
      </c>
      <c r="IK8" t="e">
        <f>AND(#REF!,"AAAAAFqfffQ=")</f>
        <v>#REF!</v>
      </c>
      <c r="IL8" t="e">
        <f>AND(#REF!,"AAAAAFqfffU=")</f>
        <v>#REF!</v>
      </c>
      <c r="IM8" t="e">
        <f>AND(#REF!,"AAAAAFqfffY=")</f>
        <v>#REF!</v>
      </c>
      <c r="IN8" t="e">
        <f>AND(#REF!,"AAAAAFqfffc=")</f>
        <v>#REF!</v>
      </c>
      <c r="IO8" t="e">
        <f>AND(#REF!,"AAAAAFqfffg=")</f>
        <v>#REF!</v>
      </c>
      <c r="IP8" t="e">
        <f>AND(#REF!,"AAAAAFqfffk=")</f>
        <v>#REF!</v>
      </c>
      <c r="IQ8" t="e">
        <f>AND(#REF!,"AAAAAFqfffo=")</f>
        <v>#REF!</v>
      </c>
      <c r="IR8" t="e">
        <f>AND(#REF!,"AAAAAFqfffs=")</f>
        <v>#REF!</v>
      </c>
      <c r="IS8" t="e">
        <f>AND(#REF!,"AAAAAFqfffw=")</f>
        <v>#REF!</v>
      </c>
      <c r="IT8" t="e">
        <f>AND(#REF!,"AAAAAFqfff0=")</f>
        <v>#REF!</v>
      </c>
      <c r="IU8" t="e">
        <f>IF(#REF!,"AAAAAFqfff4=",0)</f>
        <v>#REF!</v>
      </c>
      <c r="IV8" t="e">
        <f>AND(#REF!,"AAAAAFqfff8=")</f>
        <v>#REF!</v>
      </c>
    </row>
    <row r="9" spans="1:256" x14ac:dyDescent="0.3">
      <c r="A9" t="e">
        <f>AND(#REF!,"AAAAAH83fQA=")</f>
        <v>#REF!</v>
      </c>
      <c r="B9" t="e">
        <f>AND(#REF!,"AAAAAH83fQE=")</f>
        <v>#REF!</v>
      </c>
      <c r="C9" t="e">
        <f>AND(#REF!,"AAAAAH83fQI=")</f>
        <v>#REF!</v>
      </c>
      <c r="D9" t="e">
        <f>AND(#REF!,"AAAAAH83fQM=")</f>
        <v>#REF!</v>
      </c>
      <c r="E9" t="e">
        <f>AND(#REF!,"AAAAAH83fQQ=")</f>
        <v>#REF!</v>
      </c>
      <c r="F9" t="e">
        <f>AND(#REF!,"AAAAAH83fQU=")</f>
        <v>#REF!</v>
      </c>
      <c r="G9" t="e">
        <f>AND(#REF!,"AAAAAH83fQY=")</f>
        <v>#REF!</v>
      </c>
      <c r="H9" t="e">
        <f>AND(#REF!,"AAAAAH83fQc=")</f>
        <v>#REF!</v>
      </c>
      <c r="I9" t="e">
        <f>AND(#REF!,"AAAAAH83fQg=")</f>
        <v>#REF!</v>
      </c>
      <c r="J9" t="e">
        <f>AND(#REF!,"AAAAAH83fQk=")</f>
        <v>#REF!</v>
      </c>
      <c r="K9" t="e">
        <f>IF(#REF!,"AAAAAH83fQo=",0)</f>
        <v>#REF!</v>
      </c>
      <c r="L9" t="e">
        <f>AND(#REF!,"AAAAAH83fQs=")</f>
        <v>#REF!</v>
      </c>
      <c r="M9" t="e">
        <f>AND(#REF!,"AAAAAH83fQw=")</f>
        <v>#REF!</v>
      </c>
      <c r="N9" t="e">
        <f>AND(#REF!,"AAAAAH83fQ0=")</f>
        <v>#REF!</v>
      </c>
      <c r="O9" t="e">
        <f>AND(#REF!,"AAAAAH83fQ4=")</f>
        <v>#REF!</v>
      </c>
      <c r="P9" t="e">
        <f>AND(#REF!,"AAAAAH83fQ8=")</f>
        <v>#REF!</v>
      </c>
      <c r="Q9" t="e">
        <f>AND(#REF!,"AAAAAH83fRA=")</f>
        <v>#REF!</v>
      </c>
      <c r="R9" t="e">
        <f>AND(#REF!,"AAAAAH83fRE=")</f>
        <v>#REF!</v>
      </c>
      <c r="S9" t="e">
        <f>AND(#REF!,"AAAAAH83fRI=")</f>
        <v>#REF!</v>
      </c>
      <c r="T9" t="e">
        <f>AND(#REF!,"AAAAAH83fRM=")</f>
        <v>#REF!</v>
      </c>
      <c r="U9" t="e">
        <f>AND(#REF!,"AAAAAH83fRQ=")</f>
        <v>#REF!</v>
      </c>
      <c r="V9" t="e">
        <f>AND(#REF!,"AAAAAH83fRU=")</f>
        <v>#REF!</v>
      </c>
      <c r="W9" t="e">
        <f>IF(#REF!,"AAAAAH83fRY=",0)</f>
        <v>#REF!</v>
      </c>
      <c r="X9" t="e">
        <f>AND(#REF!,"AAAAAH83fRc=")</f>
        <v>#REF!</v>
      </c>
      <c r="Y9" t="e">
        <f>AND(#REF!,"AAAAAH83fRg=")</f>
        <v>#REF!</v>
      </c>
      <c r="Z9" t="e">
        <f>AND(#REF!,"AAAAAH83fRk=")</f>
        <v>#REF!</v>
      </c>
      <c r="AA9" t="e">
        <f>AND(#REF!,"AAAAAH83fRo=")</f>
        <v>#REF!</v>
      </c>
      <c r="AB9" t="e">
        <f>AND(#REF!,"AAAAAH83fRs=")</f>
        <v>#REF!</v>
      </c>
      <c r="AC9" t="e">
        <f>AND(#REF!,"AAAAAH83fRw=")</f>
        <v>#REF!</v>
      </c>
      <c r="AD9" t="e">
        <f>AND(#REF!,"AAAAAH83fR0=")</f>
        <v>#REF!</v>
      </c>
      <c r="AE9" t="e">
        <f>AND(#REF!,"AAAAAH83fR4=")</f>
        <v>#REF!</v>
      </c>
      <c r="AF9" t="e">
        <f>AND(#REF!,"AAAAAH83fR8=")</f>
        <v>#REF!</v>
      </c>
      <c r="AG9" t="e">
        <f>AND(#REF!,"AAAAAH83fSA=")</f>
        <v>#REF!</v>
      </c>
      <c r="AH9" t="e">
        <f>AND(#REF!,"AAAAAH83fSE=")</f>
        <v>#REF!</v>
      </c>
      <c r="AI9" t="e">
        <f>IF(#REF!,"AAAAAH83fSI=",0)</f>
        <v>#REF!</v>
      </c>
      <c r="AJ9" t="e">
        <f>AND(#REF!,"AAAAAH83fSM=")</f>
        <v>#REF!</v>
      </c>
      <c r="AK9" t="e">
        <f>AND(#REF!,"AAAAAH83fSQ=")</f>
        <v>#REF!</v>
      </c>
      <c r="AL9" t="e">
        <f>AND(#REF!,"AAAAAH83fSU=")</f>
        <v>#REF!</v>
      </c>
      <c r="AM9" t="e">
        <f>AND(#REF!,"AAAAAH83fSY=")</f>
        <v>#REF!</v>
      </c>
      <c r="AN9" t="e">
        <f>AND(#REF!,"AAAAAH83fSc=")</f>
        <v>#REF!</v>
      </c>
      <c r="AO9" t="e">
        <f>AND(#REF!,"AAAAAH83fSg=")</f>
        <v>#REF!</v>
      </c>
      <c r="AP9" t="e">
        <f>AND(#REF!,"AAAAAH83fSk=")</f>
        <v>#REF!</v>
      </c>
      <c r="AQ9" t="e">
        <f>AND(#REF!,"AAAAAH83fSo=")</f>
        <v>#REF!</v>
      </c>
      <c r="AR9" t="e">
        <f>AND(#REF!,"AAAAAH83fSs=")</f>
        <v>#REF!</v>
      </c>
      <c r="AS9" t="e">
        <f>AND(#REF!,"AAAAAH83fSw=")</f>
        <v>#REF!</v>
      </c>
      <c r="AT9" t="e">
        <f>AND(#REF!,"AAAAAH83fS0=")</f>
        <v>#REF!</v>
      </c>
      <c r="AU9" t="e">
        <f>IF(#REF!,"AAAAAH83fS4=",0)</f>
        <v>#REF!</v>
      </c>
      <c r="AV9" t="e">
        <f>AND(#REF!,"AAAAAH83fS8=")</f>
        <v>#REF!</v>
      </c>
      <c r="AW9" t="e">
        <f>AND(#REF!,"AAAAAH83fTA=")</f>
        <v>#REF!</v>
      </c>
      <c r="AX9" t="e">
        <f>AND(#REF!,"AAAAAH83fTE=")</f>
        <v>#REF!</v>
      </c>
      <c r="AY9" t="e">
        <f>AND(#REF!,"AAAAAH83fTI=")</f>
        <v>#REF!</v>
      </c>
      <c r="AZ9" t="e">
        <f>AND(#REF!,"AAAAAH83fTM=")</f>
        <v>#REF!</v>
      </c>
      <c r="BA9" t="e">
        <f>AND(#REF!,"AAAAAH83fTQ=")</f>
        <v>#REF!</v>
      </c>
      <c r="BB9" t="e">
        <f>AND(#REF!,"AAAAAH83fTU=")</f>
        <v>#REF!</v>
      </c>
      <c r="BC9" t="e">
        <f>AND(#REF!,"AAAAAH83fTY=")</f>
        <v>#REF!</v>
      </c>
      <c r="BD9" t="e">
        <f>AND(#REF!,"AAAAAH83fTc=")</f>
        <v>#REF!</v>
      </c>
      <c r="BE9" t="e">
        <f>AND(#REF!,"AAAAAH83fTg=")</f>
        <v>#REF!</v>
      </c>
      <c r="BF9" t="e">
        <f>AND(#REF!,"AAAAAH83fTk=")</f>
        <v>#REF!</v>
      </c>
      <c r="BG9" t="e">
        <f>IF(#REF!,"AAAAAH83fTo=",0)</f>
        <v>#REF!</v>
      </c>
      <c r="BH9" t="e">
        <f>AND(#REF!,"AAAAAH83fTs=")</f>
        <v>#REF!</v>
      </c>
      <c r="BI9" t="e">
        <f>AND(#REF!,"AAAAAH83fTw=")</f>
        <v>#REF!</v>
      </c>
      <c r="BJ9" t="e">
        <f>AND(#REF!,"AAAAAH83fT0=")</f>
        <v>#REF!</v>
      </c>
      <c r="BK9" t="e">
        <f>AND(#REF!,"AAAAAH83fT4=")</f>
        <v>#REF!</v>
      </c>
      <c r="BL9" t="e">
        <f>AND(#REF!,"AAAAAH83fT8=")</f>
        <v>#REF!</v>
      </c>
      <c r="BM9" t="e">
        <f>AND(#REF!,"AAAAAH83fUA=")</f>
        <v>#REF!</v>
      </c>
      <c r="BN9" t="e">
        <f>AND(#REF!,"AAAAAH83fUE=")</f>
        <v>#REF!</v>
      </c>
      <c r="BO9" t="e">
        <f>AND(#REF!,"AAAAAH83fUI=")</f>
        <v>#REF!</v>
      </c>
      <c r="BP9" t="e">
        <f>AND(#REF!,"AAAAAH83fUM=")</f>
        <v>#REF!</v>
      </c>
      <c r="BQ9" t="e">
        <f>AND(#REF!,"AAAAAH83fUQ=")</f>
        <v>#REF!</v>
      </c>
      <c r="BR9" t="e">
        <f>AND(#REF!,"AAAAAH83fUU=")</f>
        <v>#REF!</v>
      </c>
      <c r="BS9" t="e">
        <f>IF(#REF!,"AAAAAH83fUY=",0)</f>
        <v>#REF!</v>
      </c>
      <c r="BT9" t="e">
        <f>AND(#REF!,"AAAAAH83fUc=")</f>
        <v>#REF!</v>
      </c>
      <c r="BU9" t="e">
        <f>AND(#REF!,"AAAAAH83fUg=")</f>
        <v>#REF!</v>
      </c>
      <c r="BV9" t="e">
        <f>AND(#REF!,"AAAAAH83fUk=")</f>
        <v>#REF!</v>
      </c>
      <c r="BW9" t="e">
        <f>AND(#REF!,"AAAAAH83fUo=")</f>
        <v>#REF!</v>
      </c>
      <c r="BX9" t="e">
        <f>AND(#REF!,"AAAAAH83fUs=")</f>
        <v>#REF!</v>
      </c>
      <c r="BY9" t="e">
        <f>AND(#REF!,"AAAAAH83fUw=")</f>
        <v>#REF!</v>
      </c>
      <c r="BZ9" t="e">
        <f>AND(#REF!,"AAAAAH83fU0=")</f>
        <v>#REF!</v>
      </c>
      <c r="CA9" t="e">
        <f>AND(#REF!,"AAAAAH83fU4=")</f>
        <v>#REF!</v>
      </c>
      <c r="CB9" t="e">
        <f>AND(#REF!,"AAAAAH83fU8=")</f>
        <v>#REF!</v>
      </c>
      <c r="CC9" t="e">
        <f>AND(#REF!,"AAAAAH83fVA=")</f>
        <v>#REF!</v>
      </c>
      <c r="CD9" t="e">
        <f>AND(#REF!,"AAAAAH83fVE=")</f>
        <v>#REF!</v>
      </c>
      <c r="CE9" t="e">
        <f>IF(#REF!,"AAAAAH83fVI=",0)</f>
        <v>#REF!</v>
      </c>
      <c r="CF9" t="e">
        <f>AND(#REF!,"AAAAAH83fVM=")</f>
        <v>#REF!</v>
      </c>
      <c r="CG9" t="e">
        <f>AND(#REF!,"AAAAAH83fVQ=")</f>
        <v>#REF!</v>
      </c>
      <c r="CH9" t="e">
        <f>AND(#REF!,"AAAAAH83fVU=")</f>
        <v>#REF!</v>
      </c>
      <c r="CI9" t="e">
        <f>AND(#REF!,"AAAAAH83fVY=")</f>
        <v>#REF!</v>
      </c>
      <c r="CJ9" t="e">
        <f>AND(#REF!,"AAAAAH83fVc=")</f>
        <v>#REF!</v>
      </c>
      <c r="CK9" t="e">
        <f>AND(#REF!,"AAAAAH83fVg=")</f>
        <v>#REF!</v>
      </c>
      <c r="CL9" t="e">
        <f>AND(#REF!,"AAAAAH83fVk=")</f>
        <v>#REF!</v>
      </c>
      <c r="CM9" t="e">
        <f>AND(#REF!,"AAAAAH83fVo=")</f>
        <v>#REF!</v>
      </c>
      <c r="CN9" t="e">
        <f>AND(#REF!,"AAAAAH83fVs=")</f>
        <v>#REF!</v>
      </c>
      <c r="CO9" t="e">
        <f>AND(#REF!,"AAAAAH83fVw=")</f>
        <v>#REF!</v>
      </c>
      <c r="CP9" t="e">
        <f>AND(#REF!,"AAAAAH83fV0=")</f>
        <v>#REF!</v>
      </c>
      <c r="CQ9" t="e">
        <f>IF(#REF!,"AAAAAH83fV4=",0)</f>
        <v>#REF!</v>
      </c>
      <c r="CR9" t="e">
        <f>AND(#REF!,"AAAAAH83fV8=")</f>
        <v>#REF!</v>
      </c>
      <c r="CS9" t="e">
        <f>AND(#REF!,"AAAAAH83fWA=")</f>
        <v>#REF!</v>
      </c>
      <c r="CT9" t="e">
        <f>AND(#REF!,"AAAAAH83fWE=")</f>
        <v>#REF!</v>
      </c>
      <c r="CU9" t="e">
        <f>AND(#REF!,"AAAAAH83fWI=")</f>
        <v>#REF!</v>
      </c>
      <c r="CV9" t="e">
        <f>AND(#REF!,"AAAAAH83fWM=")</f>
        <v>#REF!</v>
      </c>
      <c r="CW9" t="e">
        <f>AND(#REF!,"AAAAAH83fWQ=")</f>
        <v>#REF!</v>
      </c>
      <c r="CX9" t="e">
        <f>AND(#REF!,"AAAAAH83fWU=")</f>
        <v>#REF!</v>
      </c>
      <c r="CY9" t="e">
        <f>AND(#REF!,"AAAAAH83fWY=")</f>
        <v>#REF!</v>
      </c>
      <c r="CZ9" t="e">
        <f>AND(#REF!,"AAAAAH83fWc=")</f>
        <v>#REF!</v>
      </c>
      <c r="DA9" t="e">
        <f>AND(#REF!,"AAAAAH83fWg=")</f>
        <v>#REF!</v>
      </c>
      <c r="DB9" t="e">
        <f>AND(#REF!,"AAAAAH83fWk=")</f>
        <v>#REF!</v>
      </c>
      <c r="DC9" t="e">
        <f>IF(#REF!,"AAAAAH83fWo=",0)</f>
        <v>#REF!</v>
      </c>
      <c r="DD9" t="e">
        <f>AND(#REF!,"AAAAAH83fWs=")</f>
        <v>#REF!</v>
      </c>
      <c r="DE9" t="e">
        <f>AND(#REF!,"AAAAAH83fWw=")</f>
        <v>#REF!</v>
      </c>
      <c r="DF9" t="e">
        <f>AND(#REF!,"AAAAAH83fW0=")</f>
        <v>#REF!</v>
      </c>
      <c r="DG9" t="e">
        <f>AND(#REF!,"AAAAAH83fW4=")</f>
        <v>#REF!</v>
      </c>
      <c r="DH9" t="e">
        <f>AND(#REF!,"AAAAAH83fW8=")</f>
        <v>#REF!</v>
      </c>
      <c r="DI9" t="e">
        <f>AND(#REF!,"AAAAAH83fXA=")</f>
        <v>#REF!</v>
      </c>
      <c r="DJ9" t="e">
        <f>AND(#REF!,"AAAAAH83fXE=")</f>
        <v>#REF!</v>
      </c>
      <c r="DK9" t="e">
        <f>AND(#REF!,"AAAAAH83fXI=")</f>
        <v>#REF!</v>
      </c>
      <c r="DL9" t="e">
        <f>AND(#REF!,"AAAAAH83fXM=")</f>
        <v>#REF!</v>
      </c>
      <c r="DM9" t="e">
        <f>AND(#REF!,"AAAAAH83fXQ=")</f>
        <v>#REF!</v>
      </c>
      <c r="DN9" t="e">
        <f>AND(#REF!,"AAAAAH83fXU=")</f>
        <v>#REF!</v>
      </c>
      <c r="DO9" t="e">
        <f>IF(#REF!,"AAAAAH83fXY=",0)</f>
        <v>#REF!</v>
      </c>
      <c r="DP9" t="e">
        <f>AND(#REF!,"AAAAAH83fXc=")</f>
        <v>#REF!</v>
      </c>
      <c r="DQ9" t="e">
        <f>AND(#REF!,"AAAAAH83fXg=")</f>
        <v>#REF!</v>
      </c>
      <c r="DR9" t="e">
        <f>AND(#REF!,"AAAAAH83fXk=")</f>
        <v>#REF!</v>
      </c>
      <c r="DS9" t="e">
        <f>AND(#REF!,"AAAAAH83fXo=")</f>
        <v>#REF!</v>
      </c>
      <c r="DT9" t="e">
        <f>AND(#REF!,"AAAAAH83fXs=")</f>
        <v>#REF!</v>
      </c>
      <c r="DU9" t="e">
        <f>AND(#REF!,"AAAAAH83fXw=")</f>
        <v>#REF!</v>
      </c>
      <c r="DV9" t="e">
        <f>AND(#REF!,"AAAAAH83fX0=")</f>
        <v>#REF!</v>
      </c>
      <c r="DW9" t="e">
        <f>AND(#REF!,"AAAAAH83fX4=")</f>
        <v>#REF!</v>
      </c>
      <c r="DX9" t="e">
        <f>AND(#REF!,"AAAAAH83fX8=")</f>
        <v>#REF!</v>
      </c>
      <c r="DY9" t="e">
        <f>AND(#REF!,"AAAAAH83fYA=")</f>
        <v>#REF!</v>
      </c>
      <c r="DZ9" t="e">
        <f>AND(#REF!,"AAAAAH83fYE=")</f>
        <v>#REF!</v>
      </c>
      <c r="EA9" t="e">
        <f>IF(#REF!,"AAAAAH83fYI=",0)</f>
        <v>#REF!</v>
      </c>
      <c r="EB9" t="e">
        <f>AND(#REF!,"AAAAAH83fYM=")</f>
        <v>#REF!</v>
      </c>
      <c r="EC9" t="e">
        <f>AND(#REF!,"AAAAAH83fYQ=")</f>
        <v>#REF!</v>
      </c>
      <c r="ED9" t="e">
        <f>AND(#REF!,"AAAAAH83fYU=")</f>
        <v>#REF!</v>
      </c>
      <c r="EE9" t="e">
        <f>AND(#REF!,"AAAAAH83fYY=")</f>
        <v>#REF!</v>
      </c>
      <c r="EF9" t="e">
        <f>AND(#REF!,"AAAAAH83fYc=")</f>
        <v>#REF!</v>
      </c>
      <c r="EG9" t="e">
        <f>AND(#REF!,"AAAAAH83fYg=")</f>
        <v>#REF!</v>
      </c>
      <c r="EH9" t="e">
        <f>AND(#REF!,"AAAAAH83fYk=")</f>
        <v>#REF!</v>
      </c>
      <c r="EI9" t="e">
        <f>AND(#REF!,"AAAAAH83fYo=")</f>
        <v>#REF!</v>
      </c>
      <c r="EJ9" t="e">
        <f>AND(#REF!,"AAAAAH83fYs=")</f>
        <v>#REF!</v>
      </c>
      <c r="EK9" t="e">
        <f>AND(#REF!,"AAAAAH83fYw=")</f>
        <v>#REF!</v>
      </c>
      <c r="EL9" t="e">
        <f>AND(#REF!,"AAAAAH83fY0=")</f>
        <v>#REF!</v>
      </c>
      <c r="EM9" t="e">
        <f>IF(#REF!,"AAAAAH83fY4=",0)</f>
        <v>#REF!</v>
      </c>
      <c r="EN9" t="e">
        <f>AND(#REF!,"AAAAAH83fY8=")</f>
        <v>#REF!</v>
      </c>
      <c r="EO9" t="e">
        <f>AND(#REF!,"AAAAAH83fZA=")</f>
        <v>#REF!</v>
      </c>
      <c r="EP9" t="e">
        <f>AND(#REF!,"AAAAAH83fZE=")</f>
        <v>#REF!</v>
      </c>
      <c r="EQ9" t="e">
        <f>AND(#REF!,"AAAAAH83fZI=")</f>
        <v>#REF!</v>
      </c>
      <c r="ER9" t="e">
        <f>AND(#REF!,"AAAAAH83fZM=")</f>
        <v>#REF!</v>
      </c>
      <c r="ES9" t="e">
        <f>AND(#REF!,"AAAAAH83fZQ=")</f>
        <v>#REF!</v>
      </c>
      <c r="ET9" t="e">
        <f>AND(#REF!,"AAAAAH83fZU=")</f>
        <v>#REF!</v>
      </c>
      <c r="EU9" t="e">
        <f>AND(#REF!,"AAAAAH83fZY=")</f>
        <v>#REF!</v>
      </c>
      <c r="EV9" t="e">
        <f>AND(#REF!,"AAAAAH83fZc=")</f>
        <v>#REF!</v>
      </c>
      <c r="EW9" t="e">
        <f>AND(#REF!,"AAAAAH83fZg=")</f>
        <v>#REF!</v>
      </c>
      <c r="EX9" t="e">
        <f>AND(#REF!,"AAAAAH83fZk=")</f>
        <v>#REF!</v>
      </c>
      <c r="EY9" t="e">
        <f>IF(#REF!,"AAAAAH83fZo=",0)</f>
        <v>#REF!</v>
      </c>
      <c r="EZ9" t="e">
        <f>AND(#REF!,"AAAAAH83fZs=")</f>
        <v>#REF!</v>
      </c>
      <c r="FA9" t="e">
        <f>AND(#REF!,"AAAAAH83fZw=")</f>
        <v>#REF!</v>
      </c>
      <c r="FB9" t="e">
        <f>AND(#REF!,"AAAAAH83fZ0=")</f>
        <v>#REF!</v>
      </c>
      <c r="FC9" t="e">
        <f>AND(#REF!,"AAAAAH83fZ4=")</f>
        <v>#REF!</v>
      </c>
      <c r="FD9" t="e">
        <f>AND(#REF!,"AAAAAH83fZ8=")</f>
        <v>#REF!</v>
      </c>
      <c r="FE9" t="e">
        <f>AND(#REF!,"AAAAAH83faA=")</f>
        <v>#REF!</v>
      </c>
      <c r="FF9" t="e">
        <f>AND(#REF!,"AAAAAH83faE=")</f>
        <v>#REF!</v>
      </c>
      <c r="FG9" t="e">
        <f>AND(#REF!,"AAAAAH83faI=")</f>
        <v>#REF!</v>
      </c>
      <c r="FH9" t="e">
        <f>AND(#REF!,"AAAAAH83faM=")</f>
        <v>#REF!</v>
      </c>
      <c r="FI9" t="e">
        <f>AND(#REF!,"AAAAAH83faQ=")</f>
        <v>#REF!</v>
      </c>
      <c r="FJ9" t="e">
        <f>AND(#REF!,"AAAAAH83faU=")</f>
        <v>#REF!</v>
      </c>
      <c r="FK9" t="e">
        <f>IF(#REF!,"AAAAAH83faY=",0)</f>
        <v>#REF!</v>
      </c>
      <c r="FL9" t="e">
        <f>AND(#REF!,"AAAAAH83fac=")</f>
        <v>#REF!</v>
      </c>
      <c r="FM9" t="e">
        <f>AND(#REF!,"AAAAAH83fag=")</f>
        <v>#REF!</v>
      </c>
      <c r="FN9" t="e">
        <f>AND(#REF!,"AAAAAH83fak=")</f>
        <v>#REF!</v>
      </c>
      <c r="FO9" t="e">
        <f>AND(#REF!,"AAAAAH83fao=")</f>
        <v>#REF!</v>
      </c>
      <c r="FP9" t="e">
        <f>AND(#REF!,"AAAAAH83fas=")</f>
        <v>#REF!</v>
      </c>
      <c r="FQ9" t="e">
        <f>AND(#REF!,"AAAAAH83faw=")</f>
        <v>#REF!</v>
      </c>
      <c r="FR9" t="e">
        <f>AND(#REF!,"AAAAAH83fa0=")</f>
        <v>#REF!</v>
      </c>
      <c r="FS9" t="e">
        <f>AND(#REF!,"AAAAAH83fa4=")</f>
        <v>#REF!</v>
      </c>
      <c r="FT9" t="e">
        <f>AND(#REF!,"AAAAAH83fa8=")</f>
        <v>#REF!</v>
      </c>
      <c r="FU9" t="e">
        <f>AND(#REF!,"AAAAAH83fbA=")</f>
        <v>#REF!</v>
      </c>
      <c r="FV9" t="e">
        <f>AND(#REF!,"AAAAAH83fbE=")</f>
        <v>#REF!</v>
      </c>
      <c r="FW9" t="e">
        <f>IF(#REF!,"AAAAAH83fbI=",0)</f>
        <v>#REF!</v>
      </c>
      <c r="FX9" t="e">
        <f>AND(#REF!,"AAAAAH83fbM=")</f>
        <v>#REF!</v>
      </c>
      <c r="FY9" t="e">
        <f>AND(#REF!,"AAAAAH83fbQ=")</f>
        <v>#REF!</v>
      </c>
      <c r="FZ9" t="e">
        <f>AND(#REF!,"AAAAAH83fbU=")</f>
        <v>#REF!</v>
      </c>
      <c r="GA9" t="e">
        <f>AND(#REF!,"AAAAAH83fbY=")</f>
        <v>#REF!</v>
      </c>
      <c r="GB9" t="e">
        <f>AND(#REF!,"AAAAAH83fbc=")</f>
        <v>#REF!</v>
      </c>
      <c r="GC9" t="e">
        <f>AND(#REF!,"AAAAAH83fbg=")</f>
        <v>#REF!</v>
      </c>
      <c r="GD9" t="e">
        <f>AND(#REF!,"AAAAAH83fbk=")</f>
        <v>#REF!</v>
      </c>
      <c r="GE9" t="e">
        <f>AND(#REF!,"AAAAAH83fbo=")</f>
        <v>#REF!</v>
      </c>
      <c r="GF9" t="e">
        <f>AND(#REF!,"AAAAAH83fbs=")</f>
        <v>#REF!</v>
      </c>
      <c r="GG9" t="e">
        <f>AND(#REF!,"AAAAAH83fbw=")</f>
        <v>#REF!</v>
      </c>
      <c r="GH9" t="e">
        <f>AND(#REF!,"AAAAAH83fb0=")</f>
        <v>#REF!</v>
      </c>
      <c r="GI9" t="e">
        <f>IF(#REF!,"AAAAAH83fb4=",0)</f>
        <v>#REF!</v>
      </c>
      <c r="GJ9" t="e">
        <f>AND(#REF!,"AAAAAH83fb8=")</f>
        <v>#REF!</v>
      </c>
      <c r="GK9" t="e">
        <f>AND(#REF!,"AAAAAH83fcA=")</f>
        <v>#REF!</v>
      </c>
      <c r="GL9" t="e">
        <f>AND(#REF!,"AAAAAH83fcE=")</f>
        <v>#REF!</v>
      </c>
      <c r="GM9" t="e">
        <f>AND(#REF!,"AAAAAH83fcI=")</f>
        <v>#REF!</v>
      </c>
      <c r="GN9" t="e">
        <f>AND(#REF!,"AAAAAH83fcM=")</f>
        <v>#REF!</v>
      </c>
      <c r="GO9" t="e">
        <f>AND(#REF!,"AAAAAH83fcQ=")</f>
        <v>#REF!</v>
      </c>
      <c r="GP9" t="e">
        <f>AND(#REF!,"AAAAAH83fcU=")</f>
        <v>#REF!</v>
      </c>
      <c r="GQ9" t="e">
        <f>AND(#REF!,"AAAAAH83fcY=")</f>
        <v>#REF!</v>
      </c>
      <c r="GR9" t="e">
        <f>AND(#REF!,"AAAAAH83fcc=")</f>
        <v>#REF!</v>
      </c>
      <c r="GS9" t="e">
        <f>AND(#REF!,"AAAAAH83fcg=")</f>
        <v>#REF!</v>
      </c>
      <c r="GT9" t="e">
        <f>AND(#REF!,"AAAAAH83fck=")</f>
        <v>#REF!</v>
      </c>
      <c r="GU9" t="e">
        <f>IF(#REF!,"AAAAAH83fco=",0)</f>
        <v>#REF!</v>
      </c>
      <c r="GV9" t="e">
        <f>AND(#REF!,"AAAAAH83fcs=")</f>
        <v>#REF!</v>
      </c>
      <c r="GW9" t="e">
        <f>AND(#REF!,"AAAAAH83fcw=")</f>
        <v>#REF!</v>
      </c>
      <c r="GX9" t="e">
        <f>AND(#REF!,"AAAAAH83fc0=")</f>
        <v>#REF!</v>
      </c>
      <c r="GY9" t="e">
        <f>AND(#REF!,"AAAAAH83fc4=")</f>
        <v>#REF!</v>
      </c>
      <c r="GZ9" t="e">
        <f>AND(#REF!,"AAAAAH83fc8=")</f>
        <v>#REF!</v>
      </c>
      <c r="HA9" t="e">
        <f>AND(#REF!,"AAAAAH83fdA=")</f>
        <v>#REF!</v>
      </c>
      <c r="HB9" t="e">
        <f>AND(#REF!,"AAAAAH83fdE=")</f>
        <v>#REF!</v>
      </c>
      <c r="HC9" t="e">
        <f>AND(#REF!,"AAAAAH83fdI=")</f>
        <v>#REF!</v>
      </c>
      <c r="HD9" t="e">
        <f>AND(#REF!,"AAAAAH83fdM=")</f>
        <v>#REF!</v>
      </c>
      <c r="HE9" t="e">
        <f>AND(#REF!,"AAAAAH83fdQ=")</f>
        <v>#REF!</v>
      </c>
      <c r="HF9" t="e">
        <f>AND(#REF!,"AAAAAH83fdU=")</f>
        <v>#REF!</v>
      </c>
      <c r="HG9" t="e">
        <f>IF(#REF!,"AAAAAH83fdY=",0)</f>
        <v>#REF!</v>
      </c>
      <c r="HH9" t="e">
        <f>AND(#REF!,"AAAAAH83fdc=")</f>
        <v>#REF!</v>
      </c>
      <c r="HI9" t="e">
        <f>AND(#REF!,"AAAAAH83fdg=")</f>
        <v>#REF!</v>
      </c>
      <c r="HJ9" t="e">
        <f>AND(#REF!,"AAAAAH83fdk=")</f>
        <v>#REF!</v>
      </c>
      <c r="HK9" t="e">
        <f>AND(#REF!,"AAAAAH83fdo=")</f>
        <v>#REF!</v>
      </c>
      <c r="HL9" t="e">
        <f>AND(#REF!,"AAAAAH83fds=")</f>
        <v>#REF!</v>
      </c>
      <c r="HM9" t="e">
        <f>AND(#REF!,"AAAAAH83fdw=")</f>
        <v>#REF!</v>
      </c>
      <c r="HN9" t="e">
        <f>AND(#REF!,"AAAAAH83fd0=")</f>
        <v>#REF!</v>
      </c>
      <c r="HO9" t="e">
        <f>AND(#REF!,"AAAAAH83fd4=")</f>
        <v>#REF!</v>
      </c>
      <c r="HP9" t="e">
        <f>AND(#REF!,"AAAAAH83fd8=")</f>
        <v>#REF!</v>
      </c>
      <c r="HQ9" t="e">
        <f>AND(#REF!,"AAAAAH83feA=")</f>
        <v>#REF!</v>
      </c>
      <c r="HR9" t="e">
        <f>AND(#REF!,"AAAAAH83feE=")</f>
        <v>#REF!</v>
      </c>
      <c r="HS9" t="e">
        <f>IF(#REF!,"AAAAAH83feI=",0)</f>
        <v>#REF!</v>
      </c>
      <c r="HT9" t="e">
        <f>AND(#REF!,"AAAAAH83feM=")</f>
        <v>#REF!</v>
      </c>
      <c r="HU9" t="e">
        <f>AND(#REF!,"AAAAAH83feQ=")</f>
        <v>#REF!</v>
      </c>
      <c r="HV9" t="e">
        <f>AND(#REF!,"AAAAAH83feU=")</f>
        <v>#REF!</v>
      </c>
      <c r="HW9" t="e">
        <f>AND(#REF!,"AAAAAH83feY=")</f>
        <v>#REF!</v>
      </c>
      <c r="HX9" t="e">
        <f>AND(#REF!,"AAAAAH83fec=")</f>
        <v>#REF!</v>
      </c>
      <c r="HY9" t="e">
        <f>AND(#REF!,"AAAAAH83feg=")</f>
        <v>#REF!</v>
      </c>
      <c r="HZ9" t="e">
        <f>AND(#REF!,"AAAAAH83fek=")</f>
        <v>#REF!</v>
      </c>
      <c r="IA9" t="e">
        <f>AND(#REF!,"AAAAAH83feo=")</f>
        <v>#REF!</v>
      </c>
      <c r="IB9" t="e">
        <f>AND(#REF!,"AAAAAH83fes=")</f>
        <v>#REF!</v>
      </c>
      <c r="IC9" t="e">
        <f>AND(#REF!,"AAAAAH83few=")</f>
        <v>#REF!</v>
      </c>
      <c r="ID9" t="e">
        <f>AND(#REF!,"AAAAAH83fe0=")</f>
        <v>#REF!</v>
      </c>
      <c r="IE9" t="e">
        <f>IF(#REF!,"AAAAAH83fe4=",0)</f>
        <v>#REF!</v>
      </c>
      <c r="IF9" t="e">
        <f>AND(#REF!,"AAAAAH83fe8=")</f>
        <v>#REF!</v>
      </c>
      <c r="IG9" t="e">
        <f>AND(#REF!,"AAAAAH83ffA=")</f>
        <v>#REF!</v>
      </c>
      <c r="IH9" t="e">
        <f>AND(#REF!,"AAAAAH83ffE=")</f>
        <v>#REF!</v>
      </c>
      <c r="II9" t="e">
        <f>AND(#REF!,"AAAAAH83ffI=")</f>
        <v>#REF!</v>
      </c>
      <c r="IJ9" t="e">
        <f>AND(#REF!,"AAAAAH83ffM=")</f>
        <v>#REF!</v>
      </c>
      <c r="IK9" t="e">
        <f>AND(#REF!,"AAAAAH83ffQ=")</f>
        <v>#REF!</v>
      </c>
      <c r="IL9" t="e">
        <f>AND(#REF!,"AAAAAH83ffU=")</f>
        <v>#REF!</v>
      </c>
      <c r="IM9" t="e">
        <f>AND(#REF!,"AAAAAH83ffY=")</f>
        <v>#REF!</v>
      </c>
      <c r="IN9" t="e">
        <f>AND(#REF!,"AAAAAH83ffc=")</f>
        <v>#REF!</v>
      </c>
      <c r="IO9" t="e">
        <f>AND(#REF!,"AAAAAH83ffg=")</f>
        <v>#REF!</v>
      </c>
      <c r="IP9" t="e">
        <f>AND(#REF!,"AAAAAH83ffk=")</f>
        <v>#REF!</v>
      </c>
      <c r="IQ9" t="e">
        <f>IF(#REF!,"AAAAAH83ffo=",0)</f>
        <v>#REF!</v>
      </c>
      <c r="IR9" t="e">
        <f>AND(#REF!,"AAAAAH83ffs=")</f>
        <v>#REF!</v>
      </c>
      <c r="IS9" t="e">
        <f>AND(#REF!,"AAAAAH83ffw=")</f>
        <v>#REF!</v>
      </c>
      <c r="IT9" t="e">
        <f>AND(#REF!,"AAAAAH83ff0=")</f>
        <v>#REF!</v>
      </c>
      <c r="IU9" t="e">
        <f>AND(#REF!,"AAAAAH83ff4=")</f>
        <v>#REF!</v>
      </c>
      <c r="IV9" t="e">
        <f>AND(#REF!,"AAAAAH83ff8=")</f>
        <v>#REF!</v>
      </c>
    </row>
    <row r="10" spans="1:256" x14ac:dyDescent="0.3">
      <c r="A10" t="e">
        <f>AND(#REF!,"AAAAABFXbwA=")</f>
        <v>#REF!</v>
      </c>
      <c r="B10" t="e">
        <f>AND(#REF!,"AAAAABFXbwE=")</f>
        <v>#REF!</v>
      </c>
      <c r="C10" t="e">
        <f>AND(#REF!,"AAAAABFXbwI=")</f>
        <v>#REF!</v>
      </c>
      <c r="D10" t="e">
        <f>AND(#REF!,"AAAAABFXbwM=")</f>
        <v>#REF!</v>
      </c>
      <c r="E10" t="e">
        <f>AND(#REF!,"AAAAABFXbwQ=")</f>
        <v>#REF!</v>
      </c>
      <c r="F10" t="e">
        <f>AND(#REF!,"AAAAABFXbwU=")</f>
        <v>#REF!</v>
      </c>
      <c r="G10" t="e">
        <f>IF(#REF!,"AAAAABFXbwY=",0)</f>
        <v>#REF!</v>
      </c>
      <c r="H10" t="e">
        <f>AND(#REF!,"AAAAABFXbwc=")</f>
        <v>#REF!</v>
      </c>
      <c r="I10" t="e">
        <f>AND(#REF!,"AAAAABFXbwg=")</f>
        <v>#REF!</v>
      </c>
      <c r="J10" t="e">
        <f>AND(#REF!,"AAAAABFXbwk=")</f>
        <v>#REF!</v>
      </c>
      <c r="K10" t="e">
        <f>AND(#REF!,"AAAAABFXbwo=")</f>
        <v>#REF!</v>
      </c>
      <c r="L10" t="e">
        <f>AND(#REF!,"AAAAABFXbws=")</f>
        <v>#REF!</v>
      </c>
      <c r="M10" t="e">
        <f>AND(#REF!,"AAAAABFXbww=")</f>
        <v>#REF!</v>
      </c>
      <c r="N10" t="e">
        <f>AND(#REF!,"AAAAABFXbw0=")</f>
        <v>#REF!</v>
      </c>
      <c r="O10" t="e">
        <f>AND(#REF!,"AAAAABFXbw4=")</f>
        <v>#REF!</v>
      </c>
      <c r="P10" t="e">
        <f>AND(#REF!,"AAAAABFXbw8=")</f>
        <v>#REF!</v>
      </c>
      <c r="Q10" t="e">
        <f>AND(#REF!,"AAAAABFXbxA=")</f>
        <v>#REF!</v>
      </c>
      <c r="R10" t="e">
        <f>AND(#REF!,"AAAAABFXbxE=")</f>
        <v>#REF!</v>
      </c>
      <c r="S10" t="e">
        <f>IF(#REF!,"AAAAABFXbxI=",0)</f>
        <v>#REF!</v>
      </c>
      <c r="T10" t="e">
        <f>AND(#REF!,"AAAAABFXbxM=")</f>
        <v>#REF!</v>
      </c>
      <c r="U10" t="e">
        <f>AND(#REF!,"AAAAABFXbxQ=")</f>
        <v>#REF!</v>
      </c>
      <c r="V10" t="e">
        <f>AND(#REF!,"AAAAABFXbxU=")</f>
        <v>#REF!</v>
      </c>
      <c r="W10" t="e">
        <f>AND(#REF!,"AAAAABFXbxY=")</f>
        <v>#REF!</v>
      </c>
      <c r="X10" t="e">
        <f>AND(#REF!,"AAAAABFXbxc=")</f>
        <v>#REF!</v>
      </c>
      <c r="Y10" t="e">
        <f>AND(#REF!,"AAAAABFXbxg=")</f>
        <v>#REF!</v>
      </c>
      <c r="Z10" t="e">
        <f>AND(#REF!,"AAAAABFXbxk=")</f>
        <v>#REF!</v>
      </c>
      <c r="AA10" t="e">
        <f>AND(#REF!,"AAAAABFXbxo=")</f>
        <v>#REF!</v>
      </c>
      <c r="AB10" t="e">
        <f>AND(#REF!,"AAAAABFXbxs=")</f>
        <v>#REF!</v>
      </c>
      <c r="AC10" t="e">
        <f>AND(#REF!,"AAAAABFXbxw=")</f>
        <v>#REF!</v>
      </c>
      <c r="AD10" t="e">
        <f>AND(#REF!,"AAAAABFXbx0=")</f>
        <v>#REF!</v>
      </c>
      <c r="AE10" t="e">
        <f>IF(#REF!,"AAAAABFXbx4=",0)</f>
        <v>#REF!</v>
      </c>
      <c r="AF10" t="e">
        <f>AND(#REF!,"AAAAABFXbx8=")</f>
        <v>#REF!</v>
      </c>
      <c r="AG10" t="e">
        <f>AND(#REF!,"AAAAABFXbyA=")</f>
        <v>#REF!</v>
      </c>
      <c r="AH10" t="e">
        <f>AND(#REF!,"AAAAABFXbyE=")</f>
        <v>#REF!</v>
      </c>
      <c r="AI10" t="e">
        <f>AND(#REF!,"AAAAABFXbyI=")</f>
        <v>#REF!</v>
      </c>
      <c r="AJ10" t="e">
        <f>AND(#REF!,"AAAAABFXbyM=")</f>
        <v>#REF!</v>
      </c>
      <c r="AK10" t="e">
        <f>AND(#REF!,"AAAAABFXbyQ=")</f>
        <v>#REF!</v>
      </c>
      <c r="AL10" t="e">
        <f>AND(#REF!,"AAAAABFXbyU=")</f>
        <v>#REF!</v>
      </c>
      <c r="AM10" t="e">
        <f>AND(#REF!,"AAAAABFXbyY=")</f>
        <v>#REF!</v>
      </c>
      <c r="AN10" t="e">
        <f>AND(#REF!,"AAAAABFXbyc=")</f>
        <v>#REF!</v>
      </c>
      <c r="AO10" t="e">
        <f>AND(#REF!,"AAAAABFXbyg=")</f>
        <v>#REF!</v>
      </c>
      <c r="AP10" t="e">
        <f>AND(#REF!,"AAAAABFXbyk=")</f>
        <v>#REF!</v>
      </c>
      <c r="AQ10" t="e">
        <f>IF(#REF!,"AAAAABFXbyo=",0)</f>
        <v>#REF!</v>
      </c>
      <c r="AR10" t="e">
        <f>AND(#REF!,"AAAAABFXbys=")</f>
        <v>#REF!</v>
      </c>
      <c r="AS10" t="e">
        <f>AND(#REF!,"AAAAABFXbyw=")</f>
        <v>#REF!</v>
      </c>
      <c r="AT10" t="e">
        <f>AND(#REF!,"AAAAABFXby0=")</f>
        <v>#REF!</v>
      </c>
      <c r="AU10" t="e">
        <f>AND(#REF!,"AAAAABFXby4=")</f>
        <v>#REF!</v>
      </c>
      <c r="AV10" t="e">
        <f>AND(#REF!,"AAAAABFXby8=")</f>
        <v>#REF!</v>
      </c>
      <c r="AW10" t="e">
        <f>AND(#REF!,"AAAAABFXbzA=")</f>
        <v>#REF!</v>
      </c>
      <c r="AX10" t="e">
        <f>AND(#REF!,"AAAAABFXbzE=")</f>
        <v>#REF!</v>
      </c>
      <c r="AY10" t="e">
        <f>AND(#REF!,"AAAAABFXbzI=")</f>
        <v>#REF!</v>
      </c>
      <c r="AZ10" t="e">
        <f>AND(#REF!,"AAAAABFXbzM=")</f>
        <v>#REF!</v>
      </c>
      <c r="BA10" t="e">
        <f>AND(#REF!,"AAAAABFXbzQ=")</f>
        <v>#REF!</v>
      </c>
      <c r="BB10" t="e">
        <f>AND(#REF!,"AAAAABFXbzU=")</f>
        <v>#REF!</v>
      </c>
      <c r="BC10" t="e">
        <f>IF(#REF!,"AAAAABFXbzY=",0)</f>
        <v>#REF!</v>
      </c>
      <c r="BD10" t="e">
        <f>AND(#REF!,"AAAAABFXbzc=")</f>
        <v>#REF!</v>
      </c>
      <c r="BE10" t="e">
        <f>AND(#REF!,"AAAAABFXbzg=")</f>
        <v>#REF!</v>
      </c>
      <c r="BF10" t="e">
        <f>AND(#REF!,"AAAAABFXbzk=")</f>
        <v>#REF!</v>
      </c>
      <c r="BG10" t="e">
        <f>AND(#REF!,"AAAAABFXbzo=")</f>
        <v>#REF!</v>
      </c>
      <c r="BH10" t="e">
        <f>AND(#REF!,"AAAAABFXbzs=")</f>
        <v>#REF!</v>
      </c>
      <c r="BI10" t="e">
        <f>AND(#REF!,"AAAAABFXbzw=")</f>
        <v>#REF!</v>
      </c>
      <c r="BJ10" t="e">
        <f>AND(#REF!,"AAAAABFXbz0=")</f>
        <v>#REF!</v>
      </c>
      <c r="BK10" t="e">
        <f>AND(#REF!,"AAAAABFXbz4=")</f>
        <v>#REF!</v>
      </c>
      <c r="BL10" t="e">
        <f>AND(#REF!,"AAAAABFXbz8=")</f>
        <v>#REF!</v>
      </c>
      <c r="BM10" t="e">
        <f>AND(#REF!,"AAAAABFXb0A=")</f>
        <v>#REF!</v>
      </c>
      <c r="BN10" t="e">
        <f>AND(#REF!,"AAAAABFXb0E=")</f>
        <v>#REF!</v>
      </c>
      <c r="BO10" t="e">
        <f>IF(#REF!,"AAAAABFXb0I=",0)</f>
        <v>#REF!</v>
      </c>
      <c r="BP10" t="e">
        <f>AND(#REF!,"AAAAABFXb0M=")</f>
        <v>#REF!</v>
      </c>
      <c r="BQ10" t="e">
        <f>AND(#REF!,"AAAAABFXb0Q=")</f>
        <v>#REF!</v>
      </c>
      <c r="BR10" t="e">
        <f>AND(#REF!,"AAAAABFXb0U=")</f>
        <v>#REF!</v>
      </c>
      <c r="BS10" t="e">
        <f>AND(#REF!,"AAAAABFXb0Y=")</f>
        <v>#REF!</v>
      </c>
      <c r="BT10" t="e">
        <f>AND(#REF!,"AAAAABFXb0c=")</f>
        <v>#REF!</v>
      </c>
      <c r="BU10" t="e">
        <f>AND(#REF!,"AAAAABFXb0g=")</f>
        <v>#REF!</v>
      </c>
      <c r="BV10" t="e">
        <f>AND(#REF!,"AAAAABFXb0k=")</f>
        <v>#REF!</v>
      </c>
      <c r="BW10" t="e">
        <f>AND(#REF!,"AAAAABFXb0o=")</f>
        <v>#REF!</v>
      </c>
      <c r="BX10" t="e">
        <f>AND(#REF!,"AAAAABFXb0s=")</f>
        <v>#REF!</v>
      </c>
      <c r="BY10" t="e">
        <f>AND(#REF!,"AAAAABFXb0w=")</f>
        <v>#REF!</v>
      </c>
      <c r="BZ10" t="e">
        <f>AND(#REF!,"AAAAABFXb00=")</f>
        <v>#REF!</v>
      </c>
      <c r="CA10" t="e">
        <f>IF(#REF!,"AAAAABFXb04=",0)</f>
        <v>#REF!</v>
      </c>
      <c r="CB10" t="e">
        <f>AND(#REF!,"AAAAABFXb08=")</f>
        <v>#REF!</v>
      </c>
      <c r="CC10" t="e">
        <f>AND(#REF!,"AAAAABFXb1A=")</f>
        <v>#REF!</v>
      </c>
      <c r="CD10" t="e">
        <f>AND(#REF!,"AAAAABFXb1E=")</f>
        <v>#REF!</v>
      </c>
      <c r="CE10" t="e">
        <f>AND(#REF!,"AAAAABFXb1I=")</f>
        <v>#REF!</v>
      </c>
      <c r="CF10" t="e">
        <f>AND(#REF!,"AAAAABFXb1M=")</f>
        <v>#REF!</v>
      </c>
      <c r="CG10" t="e">
        <f>AND(#REF!,"AAAAABFXb1Q=")</f>
        <v>#REF!</v>
      </c>
      <c r="CH10" t="e">
        <f>AND(#REF!,"AAAAABFXb1U=")</f>
        <v>#REF!</v>
      </c>
      <c r="CI10" t="e">
        <f>AND(#REF!,"AAAAABFXb1Y=")</f>
        <v>#REF!</v>
      </c>
      <c r="CJ10" t="e">
        <f>AND(#REF!,"AAAAABFXb1c=")</f>
        <v>#REF!</v>
      </c>
      <c r="CK10" t="e">
        <f>AND(#REF!,"AAAAABFXb1g=")</f>
        <v>#REF!</v>
      </c>
      <c r="CL10" t="e">
        <f>AND(#REF!,"AAAAABFXb1k=")</f>
        <v>#REF!</v>
      </c>
      <c r="CM10" t="e">
        <f>IF(#REF!,"AAAAABFXb1o=",0)</f>
        <v>#REF!</v>
      </c>
      <c r="CN10" t="e">
        <f>AND(#REF!,"AAAAABFXb1s=")</f>
        <v>#REF!</v>
      </c>
      <c r="CO10" t="e">
        <f>AND(#REF!,"AAAAABFXb1w=")</f>
        <v>#REF!</v>
      </c>
      <c r="CP10" t="e">
        <f>AND(#REF!,"AAAAABFXb10=")</f>
        <v>#REF!</v>
      </c>
      <c r="CQ10" t="e">
        <f>AND(#REF!,"AAAAABFXb14=")</f>
        <v>#REF!</v>
      </c>
      <c r="CR10" t="e">
        <f>AND(#REF!,"AAAAABFXb18=")</f>
        <v>#REF!</v>
      </c>
      <c r="CS10" t="e">
        <f>AND(#REF!,"AAAAABFXb2A=")</f>
        <v>#REF!</v>
      </c>
      <c r="CT10" t="e">
        <f>AND(#REF!,"AAAAABFXb2E=")</f>
        <v>#REF!</v>
      </c>
      <c r="CU10" t="e">
        <f>AND(#REF!,"AAAAABFXb2I=")</f>
        <v>#REF!</v>
      </c>
      <c r="CV10" t="e">
        <f>AND(#REF!,"AAAAABFXb2M=")</f>
        <v>#REF!</v>
      </c>
      <c r="CW10" t="e">
        <f>AND(#REF!,"AAAAABFXb2Q=")</f>
        <v>#REF!</v>
      </c>
      <c r="CX10" t="e">
        <f>AND(#REF!,"AAAAABFXb2U=")</f>
        <v>#REF!</v>
      </c>
      <c r="CY10" t="e">
        <f>IF(#REF!,"AAAAABFXb2Y=",0)</f>
        <v>#REF!</v>
      </c>
      <c r="CZ10" t="e">
        <f>AND(#REF!,"AAAAABFXb2c=")</f>
        <v>#REF!</v>
      </c>
      <c r="DA10" t="e">
        <f>AND(#REF!,"AAAAABFXb2g=")</f>
        <v>#REF!</v>
      </c>
      <c r="DB10" t="e">
        <f>AND(#REF!,"AAAAABFXb2k=")</f>
        <v>#REF!</v>
      </c>
      <c r="DC10" t="e">
        <f>AND(#REF!,"AAAAABFXb2o=")</f>
        <v>#REF!</v>
      </c>
      <c r="DD10" t="e">
        <f>AND(#REF!,"AAAAABFXb2s=")</f>
        <v>#REF!</v>
      </c>
      <c r="DE10" t="e">
        <f>AND(#REF!,"AAAAABFXb2w=")</f>
        <v>#REF!</v>
      </c>
      <c r="DF10" t="e">
        <f>AND(#REF!,"AAAAABFXb20=")</f>
        <v>#REF!</v>
      </c>
      <c r="DG10" t="e">
        <f>AND(#REF!,"AAAAABFXb24=")</f>
        <v>#REF!</v>
      </c>
      <c r="DH10" t="e">
        <f>AND(#REF!,"AAAAABFXb28=")</f>
        <v>#REF!</v>
      </c>
      <c r="DI10" t="e">
        <f>AND(#REF!,"AAAAABFXb3A=")</f>
        <v>#REF!</v>
      </c>
      <c r="DJ10" t="e">
        <f>AND(#REF!,"AAAAABFXb3E=")</f>
        <v>#REF!</v>
      </c>
      <c r="DK10" t="e">
        <f>IF(#REF!,"AAAAABFXb3I=",0)</f>
        <v>#REF!</v>
      </c>
      <c r="DL10" t="e">
        <f>AND(#REF!,"AAAAABFXb3M=")</f>
        <v>#REF!</v>
      </c>
      <c r="DM10" t="e">
        <f>AND(#REF!,"AAAAABFXb3Q=")</f>
        <v>#REF!</v>
      </c>
      <c r="DN10" t="e">
        <f>AND(#REF!,"AAAAABFXb3U=")</f>
        <v>#REF!</v>
      </c>
      <c r="DO10" t="e">
        <f>AND(#REF!,"AAAAABFXb3Y=")</f>
        <v>#REF!</v>
      </c>
      <c r="DP10" t="e">
        <f>AND(#REF!,"AAAAABFXb3c=")</f>
        <v>#REF!</v>
      </c>
      <c r="DQ10" t="e">
        <f>AND(#REF!,"AAAAABFXb3g=")</f>
        <v>#REF!</v>
      </c>
      <c r="DR10" t="e">
        <f>AND(#REF!,"AAAAABFXb3k=")</f>
        <v>#REF!</v>
      </c>
      <c r="DS10" t="e">
        <f>AND(#REF!,"AAAAABFXb3o=")</f>
        <v>#REF!</v>
      </c>
      <c r="DT10" t="e">
        <f>AND(#REF!,"AAAAABFXb3s=")</f>
        <v>#REF!</v>
      </c>
      <c r="DU10" t="e">
        <f>AND(#REF!,"AAAAABFXb3w=")</f>
        <v>#REF!</v>
      </c>
      <c r="DV10" t="e">
        <f>AND(#REF!,"AAAAABFXb30=")</f>
        <v>#REF!</v>
      </c>
      <c r="DW10" t="e">
        <f>IF(#REF!,"AAAAABFXb34=",0)</f>
        <v>#REF!</v>
      </c>
      <c r="DX10" t="e">
        <f>AND(#REF!,"AAAAABFXb38=")</f>
        <v>#REF!</v>
      </c>
      <c r="DY10" t="e">
        <f>AND(#REF!,"AAAAABFXb4A=")</f>
        <v>#REF!</v>
      </c>
      <c r="DZ10" t="e">
        <f>AND(#REF!,"AAAAABFXb4E=")</f>
        <v>#REF!</v>
      </c>
      <c r="EA10" t="e">
        <f>AND(#REF!,"AAAAABFXb4I=")</f>
        <v>#REF!</v>
      </c>
      <c r="EB10" t="e">
        <f>AND(#REF!,"AAAAABFXb4M=")</f>
        <v>#REF!</v>
      </c>
      <c r="EC10" t="e">
        <f>AND(#REF!,"AAAAABFXb4Q=")</f>
        <v>#REF!</v>
      </c>
      <c r="ED10" t="e">
        <f>AND(#REF!,"AAAAABFXb4U=")</f>
        <v>#REF!</v>
      </c>
      <c r="EE10" t="e">
        <f>AND(#REF!,"AAAAABFXb4Y=")</f>
        <v>#REF!</v>
      </c>
      <c r="EF10" t="e">
        <f>AND(#REF!,"AAAAABFXb4c=")</f>
        <v>#REF!</v>
      </c>
      <c r="EG10" t="e">
        <f>AND(#REF!,"AAAAABFXb4g=")</f>
        <v>#REF!</v>
      </c>
      <c r="EH10" t="e">
        <f>AND(#REF!,"AAAAABFXb4k=")</f>
        <v>#REF!</v>
      </c>
      <c r="EI10" t="e">
        <f>IF(#REF!,"AAAAABFXb4o=",0)</f>
        <v>#REF!</v>
      </c>
      <c r="EJ10" t="e">
        <f>AND(#REF!,"AAAAABFXb4s=")</f>
        <v>#REF!</v>
      </c>
      <c r="EK10" t="e">
        <f>AND(#REF!,"AAAAABFXb4w=")</f>
        <v>#REF!</v>
      </c>
      <c r="EL10" t="e">
        <f>AND(#REF!,"AAAAABFXb40=")</f>
        <v>#REF!</v>
      </c>
      <c r="EM10" t="e">
        <f>AND(#REF!,"AAAAABFXb44=")</f>
        <v>#REF!</v>
      </c>
      <c r="EN10" t="e">
        <f>AND(#REF!,"AAAAABFXb48=")</f>
        <v>#REF!</v>
      </c>
      <c r="EO10" t="e">
        <f>AND(#REF!,"AAAAABFXb5A=")</f>
        <v>#REF!</v>
      </c>
      <c r="EP10" t="e">
        <f>AND(#REF!,"AAAAABFXb5E=")</f>
        <v>#REF!</v>
      </c>
      <c r="EQ10" t="e">
        <f>AND(#REF!,"AAAAABFXb5I=")</f>
        <v>#REF!</v>
      </c>
      <c r="ER10" t="e">
        <f>AND(#REF!,"AAAAABFXb5M=")</f>
        <v>#REF!</v>
      </c>
      <c r="ES10" t="e">
        <f>AND(#REF!,"AAAAABFXb5Q=")</f>
        <v>#REF!</v>
      </c>
      <c r="ET10" t="e">
        <f>AND(#REF!,"AAAAABFXb5U=")</f>
        <v>#REF!</v>
      </c>
      <c r="EU10" t="e">
        <f>IF(#REF!,"AAAAABFXb5Y=",0)</f>
        <v>#REF!</v>
      </c>
      <c r="EV10" t="e">
        <f>AND(#REF!,"AAAAABFXb5c=")</f>
        <v>#REF!</v>
      </c>
      <c r="EW10" t="e">
        <f>AND(#REF!,"AAAAABFXb5g=")</f>
        <v>#REF!</v>
      </c>
      <c r="EX10" t="e">
        <f>AND(#REF!,"AAAAABFXb5k=")</f>
        <v>#REF!</v>
      </c>
      <c r="EY10" t="e">
        <f>AND(#REF!,"AAAAABFXb5o=")</f>
        <v>#REF!</v>
      </c>
      <c r="EZ10" t="e">
        <f>AND(#REF!,"AAAAABFXb5s=")</f>
        <v>#REF!</v>
      </c>
      <c r="FA10" t="e">
        <f>AND(#REF!,"AAAAABFXb5w=")</f>
        <v>#REF!</v>
      </c>
      <c r="FB10" t="e">
        <f>AND(#REF!,"AAAAABFXb50=")</f>
        <v>#REF!</v>
      </c>
      <c r="FC10" t="e">
        <f>AND(#REF!,"AAAAABFXb54=")</f>
        <v>#REF!</v>
      </c>
      <c r="FD10" t="e">
        <f>AND(#REF!,"AAAAABFXb58=")</f>
        <v>#REF!</v>
      </c>
      <c r="FE10" t="e">
        <f>AND(#REF!,"AAAAABFXb6A=")</f>
        <v>#REF!</v>
      </c>
      <c r="FF10" t="e">
        <f>AND(#REF!,"AAAAABFXb6E=")</f>
        <v>#REF!</v>
      </c>
      <c r="FG10" t="e">
        <f>IF(#REF!,"AAAAABFXb6I=",0)</f>
        <v>#REF!</v>
      </c>
      <c r="FH10" t="e">
        <f>AND(#REF!,"AAAAABFXb6M=")</f>
        <v>#REF!</v>
      </c>
      <c r="FI10" t="e">
        <f>AND(#REF!,"AAAAABFXb6Q=")</f>
        <v>#REF!</v>
      </c>
      <c r="FJ10" t="e">
        <f>AND(#REF!,"AAAAABFXb6U=")</f>
        <v>#REF!</v>
      </c>
      <c r="FK10" t="e">
        <f>AND(#REF!,"AAAAABFXb6Y=")</f>
        <v>#REF!</v>
      </c>
      <c r="FL10" t="e">
        <f>AND(#REF!,"AAAAABFXb6c=")</f>
        <v>#REF!</v>
      </c>
      <c r="FM10" t="e">
        <f>AND(#REF!,"AAAAABFXb6g=")</f>
        <v>#REF!</v>
      </c>
      <c r="FN10" t="e">
        <f>AND(#REF!,"AAAAABFXb6k=")</f>
        <v>#REF!</v>
      </c>
      <c r="FO10" t="e">
        <f>AND(#REF!,"AAAAABFXb6o=")</f>
        <v>#REF!</v>
      </c>
      <c r="FP10" t="e">
        <f>AND(#REF!,"AAAAABFXb6s=")</f>
        <v>#REF!</v>
      </c>
      <c r="FQ10" t="e">
        <f>AND(#REF!,"AAAAABFXb6w=")</f>
        <v>#REF!</v>
      </c>
      <c r="FR10" t="e">
        <f>AND(#REF!,"AAAAABFXb60=")</f>
        <v>#REF!</v>
      </c>
      <c r="FS10" t="e">
        <f>IF(#REF!,"AAAAABFXb64=",0)</f>
        <v>#REF!</v>
      </c>
      <c r="FT10" t="e">
        <f>AND(#REF!,"AAAAABFXb68=")</f>
        <v>#REF!</v>
      </c>
      <c r="FU10" t="e">
        <f>AND(#REF!,"AAAAABFXb7A=")</f>
        <v>#REF!</v>
      </c>
      <c r="FV10" t="e">
        <f>AND(#REF!,"AAAAABFXb7E=")</f>
        <v>#REF!</v>
      </c>
      <c r="FW10" t="e">
        <f>AND(#REF!,"AAAAABFXb7I=")</f>
        <v>#REF!</v>
      </c>
      <c r="FX10" t="e">
        <f>AND(#REF!,"AAAAABFXb7M=")</f>
        <v>#REF!</v>
      </c>
      <c r="FY10" t="e">
        <f>AND(#REF!,"AAAAABFXb7Q=")</f>
        <v>#REF!</v>
      </c>
      <c r="FZ10" t="e">
        <f>AND(#REF!,"AAAAABFXb7U=")</f>
        <v>#REF!</v>
      </c>
      <c r="GA10" t="e">
        <f>AND(#REF!,"AAAAABFXb7Y=")</f>
        <v>#REF!</v>
      </c>
      <c r="GB10" t="e">
        <f>AND(#REF!,"AAAAABFXb7c=")</f>
        <v>#REF!</v>
      </c>
      <c r="GC10" t="e">
        <f>AND(#REF!,"AAAAABFXb7g=")</f>
        <v>#REF!</v>
      </c>
      <c r="GD10" t="e">
        <f>AND(#REF!,"AAAAABFXb7k=")</f>
        <v>#REF!</v>
      </c>
      <c r="GE10" t="e">
        <f>IF(#REF!,"AAAAABFXb7o=",0)</f>
        <v>#REF!</v>
      </c>
      <c r="GF10" t="e">
        <f>AND(#REF!,"AAAAABFXb7s=")</f>
        <v>#REF!</v>
      </c>
      <c r="GG10" t="e">
        <f>AND(#REF!,"AAAAABFXb7w=")</f>
        <v>#REF!</v>
      </c>
      <c r="GH10" t="e">
        <f>AND(#REF!,"AAAAABFXb70=")</f>
        <v>#REF!</v>
      </c>
      <c r="GI10" t="e">
        <f>AND(#REF!,"AAAAABFXb74=")</f>
        <v>#REF!</v>
      </c>
      <c r="GJ10" t="e">
        <f>AND(#REF!,"AAAAABFXb78=")</f>
        <v>#REF!</v>
      </c>
      <c r="GK10" t="e">
        <f>AND(#REF!,"AAAAABFXb8A=")</f>
        <v>#REF!</v>
      </c>
      <c r="GL10" t="e">
        <f>AND(#REF!,"AAAAABFXb8E=")</f>
        <v>#REF!</v>
      </c>
      <c r="GM10" t="e">
        <f>AND(#REF!,"AAAAABFXb8I=")</f>
        <v>#REF!</v>
      </c>
      <c r="GN10" t="e">
        <f>AND(#REF!,"AAAAABFXb8M=")</f>
        <v>#REF!</v>
      </c>
      <c r="GO10" t="e">
        <f>AND(#REF!,"AAAAABFXb8Q=")</f>
        <v>#REF!</v>
      </c>
      <c r="GP10" t="e">
        <f>AND(#REF!,"AAAAABFXb8U=")</f>
        <v>#REF!</v>
      </c>
      <c r="GQ10" t="e">
        <f>IF(#REF!,"AAAAABFXb8Y=",0)</f>
        <v>#REF!</v>
      </c>
      <c r="GR10" t="e">
        <f>AND(#REF!,"AAAAABFXb8c=")</f>
        <v>#REF!</v>
      </c>
      <c r="GS10" t="e">
        <f>AND(#REF!,"AAAAABFXb8g=")</f>
        <v>#REF!</v>
      </c>
      <c r="GT10" t="e">
        <f>AND(#REF!,"AAAAABFXb8k=")</f>
        <v>#REF!</v>
      </c>
      <c r="GU10" t="e">
        <f>AND(#REF!,"AAAAABFXb8o=")</f>
        <v>#REF!</v>
      </c>
      <c r="GV10" t="e">
        <f>AND(#REF!,"AAAAABFXb8s=")</f>
        <v>#REF!</v>
      </c>
      <c r="GW10" t="e">
        <f>AND(#REF!,"AAAAABFXb8w=")</f>
        <v>#REF!</v>
      </c>
      <c r="GX10" t="e">
        <f>AND(#REF!,"AAAAABFXb80=")</f>
        <v>#REF!</v>
      </c>
      <c r="GY10" t="e">
        <f>AND(#REF!,"AAAAABFXb84=")</f>
        <v>#REF!</v>
      </c>
      <c r="GZ10" t="e">
        <f>AND(#REF!,"AAAAABFXb88=")</f>
        <v>#REF!</v>
      </c>
      <c r="HA10" t="e">
        <f>AND(#REF!,"AAAAABFXb9A=")</f>
        <v>#REF!</v>
      </c>
      <c r="HB10" t="e">
        <f>AND(#REF!,"AAAAABFXb9E=")</f>
        <v>#REF!</v>
      </c>
      <c r="HC10" t="e">
        <f>IF(#REF!,"AAAAABFXb9I=",0)</f>
        <v>#REF!</v>
      </c>
      <c r="HD10" t="e">
        <f>AND(#REF!,"AAAAABFXb9M=")</f>
        <v>#REF!</v>
      </c>
      <c r="HE10" t="e">
        <f>AND(#REF!,"AAAAABFXb9Q=")</f>
        <v>#REF!</v>
      </c>
      <c r="HF10" t="e">
        <f>AND(#REF!,"AAAAABFXb9U=")</f>
        <v>#REF!</v>
      </c>
      <c r="HG10" t="e">
        <f>AND(#REF!,"AAAAABFXb9Y=")</f>
        <v>#REF!</v>
      </c>
      <c r="HH10" t="e">
        <f>AND(#REF!,"AAAAABFXb9c=")</f>
        <v>#REF!</v>
      </c>
      <c r="HI10" t="e">
        <f>AND(#REF!,"AAAAABFXb9g=")</f>
        <v>#REF!</v>
      </c>
      <c r="HJ10" t="e">
        <f>AND(#REF!,"AAAAABFXb9k=")</f>
        <v>#REF!</v>
      </c>
      <c r="HK10" t="e">
        <f>AND(#REF!,"AAAAABFXb9o=")</f>
        <v>#REF!</v>
      </c>
      <c r="HL10" t="e">
        <f>AND(#REF!,"AAAAABFXb9s=")</f>
        <v>#REF!</v>
      </c>
      <c r="HM10" t="e">
        <f>AND(#REF!,"AAAAABFXb9w=")</f>
        <v>#REF!</v>
      </c>
      <c r="HN10" t="e">
        <f>AND(#REF!,"AAAAABFXb90=")</f>
        <v>#REF!</v>
      </c>
      <c r="HO10" t="e">
        <f>IF(#REF!,"AAAAABFXb94=",0)</f>
        <v>#REF!</v>
      </c>
      <c r="HP10" t="e">
        <f>AND(#REF!,"AAAAABFXb98=")</f>
        <v>#REF!</v>
      </c>
      <c r="HQ10" t="e">
        <f>AND(#REF!,"AAAAABFXb+A=")</f>
        <v>#REF!</v>
      </c>
      <c r="HR10" t="e">
        <f>AND(#REF!,"AAAAABFXb+E=")</f>
        <v>#REF!</v>
      </c>
      <c r="HS10" t="e">
        <f>AND(#REF!,"AAAAABFXb+I=")</f>
        <v>#REF!</v>
      </c>
      <c r="HT10" t="e">
        <f>AND(#REF!,"AAAAABFXb+M=")</f>
        <v>#REF!</v>
      </c>
      <c r="HU10" t="e">
        <f>AND(#REF!,"AAAAABFXb+Q=")</f>
        <v>#REF!</v>
      </c>
      <c r="HV10" t="e">
        <f>AND(#REF!,"AAAAABFXb+U=")</f>
        <v>#REF!</v>
      </c>
      <c r="HW10" t="e">
        <f>AND(#REF!,"AAAAABFXb+Y=")</f>
        <v>#REF!</v>
      </c>
      <c r="HX10" t="e">
        <f>AND(#REF!,"AAAAABFXb+c=")</f>
        <v>#REF!</v>
      </c>
      <c r="HY10" t="e">
        <f>AND(#REF!,"AAAAABFXb+g=")</f>
        <v>#REF!</v>
      </c>
      <c r="HZ10" t="e">
        <f>AND(#REF!,"AAAAABFXb+k=")</f>
        <v>#REF!</v>
      </c>
      <c r="IA10" t="e">
        <f>IF(#REF!,"AAAAABFXb+o=",0)</f>
        <v>#REF!</v>
      </c>
      <c r="IB10" t="e">
        <f>AND(#REF!,"AAAAABFXb+s=")</f>
        <v>#REF!</v>
      </c>
      <c r="IC10" t="e">
        <f>AND(#REF!,"AAAAABFXb+w=")</f>
        <v>#REF!</v>
      </c>
      <c r="ID10" t="e">
        <f>AND(#REF!,"AAAAABFXb+0=")</f>
        <v>#REF!</v>
      </c>
      <c r="IE10" t="e">
        <f>AND(#REF!,"AAAAABFXb+4=")</f>
        <v>#REF!</v>
      </c>
      <c r="IF10" t="e">
        <f>AND(#REF!,"AAAAABFXb+8=")</f>
        <v>#REF!</v>
      </c>
      <c r="IG10" t="e">
        <f>AND(#REF!,"AAAAABFXb/A=")</f>
        <v>#REF!</v>
      </c>
      <c r="IH10" t="e">
        <f>AND(#REF!,"AAAAABFXb/E=")</f>
        <v>#REF!</v>
      </c>
      <c r="II10" t="e">
        <f>AND(#REF!,"AAAAABFXb/I=")</f>
        <v>#REF!</v>
      </c>
      <c r="IJ10" t="e">
        <f>AND(#REF!,"AAAAABFXb/M=")</f>
        <v>#REF!</v>
      </c>
      <c r="IK10" t="e">
        <f>AND(#REF!,"AAAAABFXb/Q=")</f>
        <v>#REF!</v>
      </c>
      <c r="IL10" t="e">
        <f>AND(#REF!,"AAAAABFXb/U=")</f>
        <v>#REF!</v>
      </c>
      <c r="IM10" t="e">
        <f>IF(#REF!,"AAAAABFXb/Y=",0)</f>
        <v>#REF!</v>
      </c>
      <c r="IN10" t="e">
        <f>AND(#REF!,"AAAAABFXb/c=")</f>
        <v>#REF!</v>
      </c>
      <c r="IO10" t="e">
        <f>AND(#REF!,"AAAAABFXb/g=")</f>
        <v>#REF!</v>
      </c>
      <c r="IP10" t="e">
        <f>AND(#REF!,"AAAAABFXb/k=")</f>
        <v>#REF!</v>
      </c>
      <c r="IQ10" t="e">
        <f>AND(#REF!,"AAAAABFXb/o=")</f>
        <v>#REF!</v>
      </c>
      <c r="IR10" t="e">
        <f>AND(#REF!,"AAAAABFXb/s=")</f>
        <v>#REF!</v>
      </c>
      <c r="IS10" t="e">
        <f>AND(#REF!,"AAAAABFXb/w=")</f>
        <v>#REF!</v>
      </c>
      <c r="IT10" t="e">
        <f>AND(#REF!,"AAAAABFXb/0=")</f>
        <v>#REF!</v>
      </c>
      <c r="IU10" t="e">
        <f>AND(#REF!,"AAAAABFXb/4=")</f>
        <v>#REF!</v>
      </c>
      <c r="IV10" t="e">
        <f>AND(#REF!,"AAAAABFXb/8=")</f>
        <v>#REF!</v>
      </c>
    </row>
    <row r="11" spans="1:256" x14ac:dyDescent="0.3">
      <c r="A11" t="e">
        <f>AND(#REF!,"AAAAAFRdvAA=")</f>
        <v>#REF!</v>
      </c>
      <c r="B11" t="e">
        <f>AND(#REF!,"AAAAAFRdvAE=")</f>
        <v>#REF!</v>
      </c>
      <c r="C11" t="e">
        <f>IF(#REF!,"AAAAAFRdvAI=",0)</f>
        <v>#REF!</v>
      </c>
      <c r="D11" t="e">
        <f>AND(#REF!,"AAAAAFRdvAM=")</f>
        <v>#REF!</v>
      </c>
      <c r="E11" t="e">
        <f>AND(#REF!,"AAAAAFRdvAQ=")</f>
        <v>#REF!</v>
      </c>
      <c r="F11" t="e">
        <f>AND(#REF!,"AAAAAFRdvAU=")</f>
        <v>#REF!</v>
      </c>
      <c r="G11" t="e">
        <f>AND(#REF!,"AAAAAFRdvAY=")</f>
        <v>#REF!</v>
      </c>
      <c r="H11" t="e">
        <f>AND(#REF!,"AAAAAFRdvAc=")</f>
        <v>#REF!</v>
      </c>
      <c r="I11" t="e">
        <f>AND(#REF!,"AAAAAFRdvAg=")</f>
        <v>#REF!</v>
      </c>
      <c r="J11" t="e">
        <f>AND(#REF!,"AAAAAFRdvAk=")</f>
        <v>#REF!</v>
      </c>
      <c r="K11" t="e">
        <f>AND(#REF!,"AAAAAFRdvAo=")</f>
        <v>#REF!</v>
      </c>
      <c r="L11" t="e">
        <f>AND(#REF!,"AAAAAFRdvAs=")</f>
        <v>#REF!</v>
      </c>
      <c r="M11" t="e">
        <f>AND(#REF!,"AAAAAFRdvAw=")</f>
        <v>#REF!</v>
      </c>
      <c r="N11" t="e">
        <f>AND(#REF!,"AAAAAFRdvA0=")</f>
        <v>#REF!</v>
      </c>
      <c r="O11" t="e">
        <f>IF(#REF!,"AAAAAFRdvA4=",0)</f>
        <v>#REF!</v>
      </c>
      <c r="P11" t="e">
        <f>AND(#REF!,"AAAAAFRdvA8=")</f>
        <v>#REF!</v>
      </c>
      <c r="Q11" t="e">
        <f>AND(#REF!,"AAAAAFRdvBA=")</f>
        <v>#REF!</v>
      </c>
      <c r="R11" t="e">
        <f>AND(#REF!,"AAAAAFRdvBE=")</f>
        <v>#REF!</v>
      </c>
      <c r="S11" t="e">
        <f>AND(#REF!,"AAAAAFRdvBI=")</f>
        <v>#REF!</v>
      </c>
      <c r="T11" t="e">
        <f>AND(#REF!,"AAAAAFRdvBM=")</f>
        <v>#REF!</v>
      </c>
      <c r="U11" t="e">
        <f>AND(#REF!,"AAAAAFRdvBQ=")</f>
        <v>#REF!</v>
      </c>
      <c r="V11" t="e">
        <f>AND(#REF!,"AAAAAFRdvBU=")</f>
        <v>#REF!</v>
      </c>
      <c r="W11" t="e">
        <f>AND(#REF!,"AAAAAFRdvBY=")</f>
        <v>#REF!</v>
      </c>
      <c r="X11" t="e">
        <f>AND(#REF!,"AAAAAFRdvBc=")</f>
        <v>#REF!</v>
      </c>
      <c r="Y11" t="e">
        <f>AND(#REF!,"AAAAAFRdvBg=")</f>
        <v>#REF!</v>
      </c>
      <c r="Z11" t="e">
        <f>AND(#REF!,"AAAAAFRdvBk=")</f>
        <v>#REF!</v>
      </c>
      <c r="AA11" t="e">
        <f>IF(#REF!,"AAAAAFRdvBo=",0)</f>
        <v>#REF!</v>
      </c>
      <c r="AB11" t="e">
        <f>AND(#REF!,"AAAAAFRdvBs=")</f>
        <v>#REF!</v>
      </c>
      <c r="AC11" t="e">
        <f>AND(#REF!,"AAAAAFRdvBw=")</f>
        <v>#REF!</v>
      </c>
      <c r="AD11" t="e">
        <f>AND(#REF!,"AAAAAFRdvB0=")</f>
        <v>#REF!</v>
      </c>
      <c r="AE11" t="e">
        <f>AND(#REF!,"AAAAAFRdvB4=")</f>
        <v>#REF!</v>
      </c>
      <c r="AF11" t="e">
        <f>AND(#REF!,"AAAAAFRdvB8=")</f>
        <v>#REF!</v>
      </c>
      <c r="AG11" t="e">
        <f>AND(#REF!,"AAAAAFRdvCA=")</f>
        <v>#REF!</v>
      </c>
      <c r="AH11" t="e">
        <f>AND(#REF!,"AAAAAFRdvCE=")</f>
        <v>#REF!</v>
      </c>
      <c r="AI11" t="e">
        <f>AND(#REF!,"AAAAAFRdvCI=")</f>
        <v>#REF!</v>
      </c>
      <c r="AJ11" t="e">
        <f>AND(#REF!,"AAAAAFRdvCM=")</f>
        <v>#REF!</v>
      </c>
      <c r="AK11" t="e">
        <f>AND(#REF!,"AAAAAFRdvCQ=")</f>
        <v>#REF!</v>
      </c>
      <c r="AL11" t="e">
        <f>AND(#REF!,"AAAAAFRdvCU=")</f>
        <v>#REF!</v>
      </c>
      <c r="AM11" t="e">
        <f>IF(#REF!,"AAAAAFRdvCY=",0)</f>
        <v>#REF!</v>
      </c>
      <c r="AN11" t="e">
        <f>AND(#REF!,"AAAAAFRdvCc=")</f>
        <v>#REF!</v>
      </c>
      <c r="AO11" t="e">
        <f>AND(#REF!,"AAAAAFRdvCg=")</f>
        <v>#REF!</v>
      </c>
      <c r="AP11" t="e">
        <f>AND(#REF!,"AAAAAFRdvCk=")</f>
        <v>#REF!</v>
      </c>
      <c r="AQ11" t="e">
        <f>AND(#REF!,"AAAAAFRdvCo=")</f>
        <v>#REF!</v>
      </c>
      <c r="AR11" t="e">
        <f>AND(#REF!,"AAAAAFRdvCs=")</f>
        <v>#REF!</v>
      </c>
      <c r="AS11" t="e">
        <f>AND(#REF!,"AAAAAFRdvCw=")</f>
        <v>#REF!</v>
      </c>
      <c r="AT11" t="e">
        <f>AND(#REF!,"AAAAAFRdvC0=")</f>
        <v>#REF!</v>
      </c>
      <c r="AU11" t="e">
        <f>AND(#REF!,"AAAAAFRdvC4=")</f>
        <v>#REF!</v>
      </c>
      <c r="AV11" t="e">
        <f>AND(#REF!,"AAAAAFRdvC8=")</f>
        <v>#REF!</v>
      </c>
      <c r="AW11" t="e">
        <f>AND(#REF!,"AAAAAFRdvDA=")</f>
        <v>#REF!</v>
      </c>
      <c r="AX11" t="e">
        <f>AND(#REF!,"AAAAAFRdvDE=")</f>
        <v>#REF!</v>
      </c>
      <c r="AY11" t="e">
        <f>IF(#REF!,"AAAAAFRdvDI=",0)</f>
        <v>#REF!</v>
      </c>
      <c r="AZ11" t="e">
        <f>AND(#REF!,"AAAAAFRdvDM=")</f>
        <v>#REF!</v>
      </c>
      <c r="BA11" t="e">
        <f>AND(#REF!,"AAAAAFRdvDQ=")</f>
        <v>#REF!</v>
      </c>
      <c r="BB11" t="e">
        <f>AND(#REF!,"AAAAAFRdvDU=")</f>
        <v>#REF!</v>
      </c>
      <c r="BC11" t="e">
        <f>AND(#REF!,"AAAAAFRdvDY=")</f>
        <v>#REF!</v>
      </c>
      <c r="BD11" t="e">
        <f>AND(#REF!,"AAAAAFRdvDc=")</f>
        <v>#REF!</v>
      </c>
      <c r="BE11" t="e">
        <f>AND(#REF!,"AAAAAFRdvDg=")</f>
        <v>#REF!</v>
      </c>
      <c r="BF11" t="e">
        <f>AND(#REF!,"AAAAAFRdvDk=")</f>
        <v>#REF!</v>
      </c>
      <c r="BG11" t="e">
        <f>AND(#REF!,"AAAAAFRdvDo=")</f>
        <v>#REF!</v>
      </c>
      <c r="BH11" t="e">
        <f>AND(#REF!,"AAAAAFRdvDs=")</f>
        <v>#REF!</v>
      </c>
      <c r="BI11" t="e">
        <f>AND(#REF!,"AAAAAFRdvDw=")</f>
        <v>#REF!</v>
      </c>
      <c r="BJ11" t="e">
        <f>AND(#REF!,"AAAAAFRdvD0=")</f>
        <v>#REF!</v>
      </c>
      <c r="BK11" t="e">
        <f>IF(#REF!,"AAAAAFRdvD4=",0)</f>
        <v>#REF!</v>
      </c>
      <c r="BL11" t="e">
        <f>AND(#REF!,"AAAAAFRdvD8=")</f>
        <v>#REF!</v>
      </c>
      <c r="BM11" t="e">
        <f>AND(#REF!,"AAAAAFRdvEA=")</f>
        <v>#REF!</v>
      </c>
      <c r="BN11" t="e">
        <f>AND(#REF!,"AAAAAFRdvEE=")</f>
        <v>#REF!</v>
      </c>
      <c r="BO11" t="e">
        <f>AND(#REF!,"AAAAAFRdvEI=")</f>
        <v>#REF!</v>
      </c>
      <c r="BP11" t="e">
        <f>AND(#REF!,"AAAAAFRdvEM=")</f>
        <v>#REF!</v>
      </c>
      <c r="BQ11" t="e">
        <f>AND(#REF!,"AAAAAFRdvEQ=")</f>
        <v>#REF!</v>
      </c>
      <c r="BR11" t="e">
        <f>AND(#REF!,"AAAAAFRdvEU=")</f>
        <v>#REF!</v>
      </c>
      <c r="BS11" t="e">
        <f>AND(#REF!,"AAAAAFRdvEY=")</f>
        <v>#REF!</v>
      </c>
      <c r="BT11" t="e">
        <f>AND(#REF!,"AAAAAFRdvEc=")</f>
        <v>#REF!</v>
      </c>
      <c r="BU11" t="e">
        <f>AND(#REF!,"AAAAAFRdvEg=")</f>
        <v>#REF!</v>
      </c>
      <c r="BV11" t="e">
        <f>AND(#REF!,"AAAAAFRdvEk=")</f>
        <v>#REF!</v>
      </c>
      <c r="BW11" t="e">
        <f>IF(#REF!,"AAAAAFRdvEo=",0)</f>
        <v>#REF!</v>
      </c>
      <c r="BX11" t="e">
        <f>AND(#REF!,"AAAAAFRdvEs=")</f>
        <v>#REF!</v>
      </c>
      <c r="BY11" t="e">
        <f>AND(#REF!,"AAAAAFRdvEw=")</f>
        <v>#REF!</v>
      </c>
      <c r="BZ11" t="e">
        <f>AND(#REF!,"AAAAAFRdvE0=")</f>
        <v>#REF!</v>
      </c>
      <c r="CA11" t="e">
        <f>AND(#REF!,"AAAAAFRdvE4=")</f>
        <v>#REF!</v>
      </c>
      <c r="CB11" t="e">
        <f>AND(#REF!,"AAAAAFRdvE8=")</f>
        <v>#REF!</v>
      </c>
      <c r="CC11" t="e">
        <f>AND(#REF!,"AAAAAFRdvFA=")</f>
        <v>#REF!</v>
      </c>
      <c r="CD11" t="e">
        <f>AND(#REF!,"AAAAAFRdvFE=")</f>
        <v>#REF!</v>
      </c>
      <c r="CE11" t="e">
        <f>AND(#REF!,"AAAAAFRdvFI=")</f>
        <v>#REF!</v>
      </c>
      <c r="CF11" t="e">
        <f>AND(#REF!,"AAAAAFRdvFM=")</f>
        <v>#REF!</v>
      </c>
      <c r="CG11" t="e">
        <f>AND(#REF!,"AAAAAFRdvFQ=")</f>
        <v>#REF!</v>
      </c>
      <c r="CH11" t="e">
        <f>AND(#REF!,"AAAAAFRdvFU=")</f>
        <v>#REF!</v>
      </c>
      <c r="CI11" t="e">
        <f>IF(#REF!,"AAAAAFRdvFY=",0)</f>
        <v>#REF!</v>
      </c>
      <c r="CJ11" t="e">
        <f>AND(#REF!,"AAAAAFRdvFc=")</f>
        <v>#REF!</v>
      </c>
      <c r="CK11" t="e">
        <f>AND(#REF!,"AAAAAFRdvFg=")</f>
        <v>#REF!</v>
      </c>
      <c r="CL11" t="e">
        <f>AND(#REF!,"AAAAAFRdvFk=")</f>
        <v>#REF!</v>
      </c>
      <c r="CM11" t="e">
        <f>AND(#REF!,"AAAAAFRdvFo=")</f>
        <v>#REF!</v>
      </c>
      <c r="CN11" t="e">
        <f>AND(#REF!,"AAAAAFRdvFs=")</f>
        <v>#REF!</v>
      </c>
      <c r="CO11" t="e">
        <f>AND(#REF!,"AAAAAFRdvFw=")</f>
        <v>#REF!</v>
      </c>
      <c r="CP11" t="e">
        <f>AND(#REF!,"AAAAAFRdvF0=")</f>
        <v>#REF!</v>
      </c>
      <c r="CQ11" t="e">
        <f>AND(#REF!,"AAAAAFRdvF4=")</f>
        <v>#REF!</v>
      </c>
      <c r="CR11" t="e">
        <f>AND(#REF!,"AAAAAFRdvF8=")</f>
        <v>#REF!</v>
      </c>
      <c r="CS11" t="e">
        <f>AND(#REF!,"AAAAAFRdvGA=")</f>
        <v>#REF!</v>
      </c>
      <c r="CT11" t="e">
        <f>AND(#REF!,"AAAAAFRdvGE=")</f>
        <v>#REF!</v>
      </c>
      <c r="CU11" t="e">
        <f>IF(#REF!,"AAAAAFRdvGI=",0)</f>
        <v>#REF!</v>
      </c>
      <c r="CV11" t="e">
        <f>AND(#REF!,"AAAAAFRdvGM=")</f>
        <v>#REF!</v>
      </c>
      <c r="CW11" t="e">
        <f>AND(#REF!,"AAAAAFRdvGQ=")</f>
        <v>#REF!</v>
      </c>
      <c r="CX11" t="e">
        <f>AND(#REF!,"AAAAAFRdvGU=")</f>
        <v>#REF!</v>
      </c>
      <c r="CY11" t="e">
        <f>AND(#REF!,"AAAAAFRdvGY=")</f>
        <v>#REF!</v>
      </c>
      <c r="CZ11" t="e">
        <f>AND(#REF!,"AAAAAFRdvGc=")</f>
        <v>#REF!</v>
      </c>
      <c r="DA11" t="e">
        <f>AND(#REF!,"AAAAAFRdvGg=")</f>
        <v>#REF!</v>
      </c>
      <c r="DB11" t="e">
        <f>AND(#REF!,"AAAAAFRdvGk=")</f>
        <v>#REF!</v>
      </c>
      <c r="DC11" t="e">
        <f>AND(#REF!,"AAAAAFRdvGo=")</f>
        <v>#REF!</v>
      </c>
      <c r="DD11" t="e">
        <f>AND(#REF!,"AAAAAFRdvGs=")</f>
        <v>#REF!</v>
      </c>
      <c r="DE11" t="e">
        <f>AND(#REF!,"AAAAAFRdvGw=")</f>
        <v>#REF!</v>
      </c>
      <c r="DF11" t="e">
        <f>AND(#REF!,"AAAAAFRdvG0=")</f>
        <v>#REF!</v>
      </c>
      <c r="DG11" t="e">
        <f>IF(#REF!,"AAAAAFRdvG4=",0)</f>
        <v>#REF!</v>
      </c>
      <c r="DH11" t="e">
        <f>AND(#REF!,"AAAAAFRdvG8=")</f>
        <v>#REF!</v>
      </c>
      <c r="DI11" t="e">
        <f>AND(#REF!,"AAAAAFRdvHA=")</f>
        <v>#REF!</v>
      </c>
      <c r="DJ11" t="e">
        <f>AND(#REF!,"AAAAAFRdvHE=")</f>
        <v>#REF!</v>
      </c>
      <c r="DK11" t="e">
        <f>AND(#REF!,"AAAAAFRdvHI=")</f>
        <v>#REF!</v>
      </c>
      <c r="DL11" t="e">
        <f>AND(#REF!,"AAAAAFRdvHM=")</f>
        <v>#REF!</v>
      </c>
      <c r="DM11" t="e">
        <f>AND(#REF!,"AAAAAFRdvHQ=")</f>
        <v>#REF!</v>
      </c>
      <c r="DN11" t="e">
        <f>AND(#REF!,"AAAAAFRdvHU=")</f>
        <v>#REF!</v>
      </c>
      <c r="DO11" t="e">
        <f>AND(#REF!,"AAAAAFRdvHY=")</f>
        <v>#REF!</v>
      </c>
      <c r="DP11" t="e">
        <f>AND(#REF!,"AAAAAFRdvHc=")</f>
        <v>#REF!</v>
      </c>
      <c r="DQ11" t="e">
        <f>AND(#REF!,"AAAAAFRdvHg=")</f>
        <v>#REF!</v>
      </c>
      <c r="DR11" t="e">
        <f>AND(#REF!,"AAAAAFRdvHk=")</f>
        <v>#REF!</v>
      </c>
      <c r="DS11" t="e">
        <f>IF(#REF!,"AAAAAFRdvHo=",0)</f>
        <v>#REF!</v>
      </c>
      <c r="DT11" t="e">
        <f>AND(#REF!,"AAAAAFRdvHs=")</f>
        <v>#REF!</v>
      </c>
      <c r="DU11" t="e">
        <f>AND(#REF!,"AAAAAFRdvHw=")</f>
        <v>#REF!</v>
      </c>
      <c r="DV11" t="e">
        <f>AND(#REF!,"AAAAAFRdvH0=")</f>
        <v>#REF!</v>
      </c>
      <c r="DW11" t="e">
        <f>AND(#REF!,"AAAAAFRdvH4=")</f>
        <v>#REF!</v>
      </c>
      <c r="DX11" t="e">
        <f>AND(#REF!,"AAAAAFRdvH8=")</f>
        <v>#REF!</v>
      </c>
      <c r="DY11" t="e">
        <f>AND(#REF!,"AAAAAFRdvIA=")</f>
        <v>#REF!</v>
      </c>
      <c r="DZ11" t="e">
        <f>AND(#REF!,"AAAAAFRdvIE=")</f>
        <v>#REF!</v>
      </c>
      <c r="EA11" t="e">
        <f>AND(#REF!,"AAAAAFRdvII=")</f>
        <v>#REF!</v>
      </c>
      <c r="EB11" t="e">
        <f>AND(#REF!,"AAAAAFRdvIM=")</f>
        <v>#REF!</v>
      </c>
      <c r="EC11" t="e">
        <f>AND(#REF!,"AAAAAFRdvIQ=")</f>
        <v>#REF!</v>
      </c>
      <c r="ED11" t="e">
        <f>AND(#REF!,"AAAAAFRdvIU=")</f>
        <v>#REF!</v>
      </c>
      <c r="EE11" t="e">
        <f>IF(#REF!,"AAAAAFRdvIY=",0)</f>
        <v>#REF!</v>
      </c>
      <c r="EF11" t="e">
        <f>AND(#REF!,"AAAAAFRdvIc=")</f>
        <v>#REF!</v>
      </c>
      <c r="EG11" t="e">
        <f>AND(#REF!,"AAAAAFRdvIg=")</f>
        <v>#REF!</v>
      </c>
      <c r="EH11" t="e">
        <f>AND(#REF!,"AAAAAFRdvIk=")</f>
        <v>#REF!</v>
      </c>
      <c r="EI11" t="e">
        <f>AND(#REF!,"AAAAAFRdvIo=")</f>
        <v>#REF!</v>
      </c>
      <c r="EJ11" t="e">
        <f>AND(#REF!,"AAAAAFRdvIs=")</f>
        <v>#REF!</v>
      </c>
      <c r="EK11" t="e">
        <f>AND(#REF!,"AAAAAFRdvIw=")</f>
        <v>#REF!</v>
      </c>
      <c r="EL11" t="e">
        <f>AND(#REF!,"AAAAAFRdvI0=")</f>
        <v>#REF!</v>
      </c>
      <c r="EM11" t="e">
        <f>AND(#REF!,"AAAAAFRdvI4=")</f>
        <v>#REF!</v>
      </c>
      <c r="EN11" t="e">
        <f>AND(#REF!,"AAAAAFRdvI8=")</f>
        <v>#REF!</v>
      </c>
      <c r="EO11" t="e">
        <f>AND(#REF!,"AAAAAFRdvJA=")</f>
        <v>#REF!</v>
      </c>
      <c r="EP11" t="e">
        <f>AND(#REF!,"AAAAAFRdvJE=")</f>
        <v>#REF!</v>
      </c>
      <c r="EQ11" t="e">
        <f>IF(#REF!,"AAAAAFRdvJI=",0)</f>
        <v>#REF!</v>
      </c>
      <c r="ER11" t="e">
        <f>IF(#REF!,"AAAAAFRdvJM=",0)</f>
        <v>#REF!</v>
      </c>
      <c r="ES11" t="e">
        <f>IF(#REF!,"AAAAAFRdvJQ=",0)</f>
        <v>#REF!</v>
      </c>
      <c r="ET11" t="e">
        <f>IF(#REF!,"AAAAAFRdvJU=",0)</f>
        <v>#REF!</v>
      </c>
      <c r="EU11" t="e">
        <f>IF(#REF!,"AAAAAFRdvJY=",0)</f>
        <v>#REF!</v>
      </c>
      <c r="EV11" t="e">
        <f>IF(#REF!,"AAAAAFRdvJc=",0)</f>
        <v>#REF!</v>
      </c>
      <c r="EW11" t="e">
        <f>IF(#REF!,"AAAAAFRdvJg=",0)</f>
        <v>#REF!</v>
      </c>
      <c r="EX11" t="e">
        <f>IF(#REF!,"AAAAAFRdvJk=",0)</f>
        <v>#REF!</v>
      </c>
      <c r="EY11" t="e">
        <f>IF(#REF!,"AAAAAFRdvJo=",0)</f>
        <v>#REF!</v>
      </c>
      <c r="EZ11" t="e">
        <f>IF(#REF!,"AAAAAFRdvJs=",0)</f>
        <v>#REF!</v>
      </c>
      <c r="FA11" t="e">
        <f>IF(#REF!,"AAAAAFRdvJw=",0)</f>
        <v>#REF!</v>
      </c>
      <c r="FB11">
        <f>IF(Export!1:1,"AAAAAFRdvJ0=",0)</f>
        <v>0</v>
      </c>
      <c r="FC11" t="e">
        <f>AND(Export!#REF!,"AAAAAFRdvJ4=")</f>
        <v>#REF!</v>
      </c>
      <c r="FD11" t="e">
        <f>AND(Export!#REF!,"AAAAAFRdvJ8=")</f>
        <v>#REF!</v>
      </c>
      <c r="FE11" t="e">
        <f>AND(Export!#REF!,"AAAAAFRdvKA=")</f>
        <v>#REF!</v>
      </c>
      <c r="FF11" t="e">
        <f>AND(Export!#REF!,"AAAAAFRdvKE=")</f>
        <v>#REF!</v>
      </c>
      <c r="FG11" t="e">
        <f>AND(Export!#REF!,"AAAAAFRdvKI=")</f>
        <v>#REF!</v>
      </c>
      <c r="FH11" t="e">
        <f>AND(Export!#REF!,"AAAAAFRdvKM=")</f>
        <v>#REF!</v>
      </c>
      <c r="FI11" t="e">
        <f>AND(Export!#REF!,"AAAAAFRdvKQ=")</f>
        <v>#REF!</v>
      </c>
      <c r="FJ11" t="e">
        <f>AND(Export!#REF!,"AAAAAFRdvKU=")</f>
        <v>#REF!</v>
      </c>
      <c r="FK11" t="e">
        <f>AND(Export!D1,"AAAAAFRdvKY=")</f>
        <v>#VALUE!</v>
      </c>
      <c r="FL11" t="e">
        <f>AND(Export!E1,"AAAAAFRdvKc=")</f>
        <v>#VALUE!</v>
      </c>
      <c r="FM11">
        <f>IF(Export!2:2,"AAAAAFRdvKg=",0)</f>
        <v>0</v>
      </c>
      <c r="FN11" t="e">
        <f>AND(Export!#REF!,"AAAAAFRdvKk=")</f>
        <v>#REF!</v>
      </c>
      <c r="FO11" t="e">
        <f>AND(Export!#REF!,"AAAAAFRdvKo=")</f>
        <v>#REF!</v>
      </c>
      <c r="FP11" t="e">
        <f>AND(Export!#REF!,"AAAAAFRdvKs=")</f>
        <v>#REF!</v>
      </c>
      <c r="FQ11" t="e">
        <f>AND(Export!#REF!,"AAAAAFRdvKw=")</f>
        <v>#REF!</v>
      </c>
      <c r="FR11" t="e">
        <f>AND(Export!#REF!,"AAAAAFRdvK0=")</f>
        <v>#REF!</v>
      </c>
      <c r="FS11" t="e">
        <f>AND(Export!#REF!,"AAAAAFRdvK4=")</f>
        <v>#REF!</v>
      </c>
      <c r="FT11" t="e">
        <f>AND(Export!#REF!,"AAAAAFRdvK8=")</f>
        <v>#REF!</v>
      </c>
      <c r="FU11" t="e">
        <f>AND(Export!#REF!,"AAAAAFRdvLA=")</f>
        <v>#REF!</v>
      </c>
      <c r="FV11" t="e">
        <f>AND(Export!D2,"AAAAAFRdvLE=")</f>
        <v>#VALUE!</v>
      </c>
      <c r="FW11" t="e">
        <f>AND(Export!E2,"AAAAAFRdvLI=")</f>
        <v>#VALUE!</v>
      </c>
      <c r="FX11">
        <f>IF(Export!3:3,"AAAAAFRdvLM=",0)</f>
        <v>0</v>
      </c>
      <c r="FY11" t="e">
        <f>AND(Export!#REF!,"AAAAAFRdvLQ=")</f>
        <v>#REF!</v>
      </c>
      <c r="FZ11" t="e">
        <f>AND(Export!#REF!,"AAAAAFRdvLU=")</f>
        <v>#REF!</v>
      </c>
      <c r="GA11" t="e">
        <f>AND(Export!#REF!,"AAAAAFRdvLY=")</f>
        <v>#REF!</v>
      </c>
      <c r="GB11" t="e">
        <f>AND(Export!#REF!,"AAAAAFRdvLc=")</f>
        <v>#REF!</v>
      </c>
      <c r="GC11" t="e">
        <f>AND(Export!#REF!,"AAAAAFRdvLg=")</f>
        <v>#REF!</v>
      </c>
      <c r="GD11" t="e">
        <f>AND(Export!#REF!,"AAAAAFRdvLk=")</f>
        <v>#REF!</v>
      </c>
      <c r="GE11" t="e">
        <f>AND(Export!#REF!,"AAAAAFRdvLo=")</f>
        <v>#REF!</v>
      </c>
      <c r="GF11" t="e">
        <f>AND(Export!#REF!,"AAAAAFRdvLs=")</f>
        <v>#REF!</v>
      </c>
      <c r="GG11" t="e">
        <f>AND(Export!D3,"AAAAAFRdvLw=")</f>
        <v>#VALUE!</v>
      </c>
      <c r="GH11" t="e">
        <f>AND(Export!E3,"AAAAAFRdvL0=")</f>
        <v>#VALUE!</v>
      </c>
      <c r="GI11">
        <f>IF(Export!5:5,"AAAAAFRdvL4=",0)</f>
        <v>0</v>
      </c>
      <c r="GJ11" t="e">
        <f>AND(Export!#REF!,"AAAAAFRdvL8=")</f>
        <v>#REF!</v>
      </c>
      <c r="GK11" t="e">
        <f>AND(Export!#REF!,"AAAAAFRdvMA=")</f>
        <v>#REF!</v>
      </c>
      <c r="GL11" t="e">
        <f>AND(Export!#REF!,"AAAAAFRdvME=")</f>
        <v>#REF!</v>
      </c>
      <c r="GM11" t="e">
        <f>AND(Export!#REF!,"AAAAAFRdvMI=")</f>
        <v>#REF!</v>
      </c>
      <c r="GN11" t="e">
        <f>AND(Export!#REF!,"AAAAAFRdvMM=")</f>
        <v>#REF!</v>
      </c>
      <c r="GO11" t="e">
        <f>AND(Export!#REF!,"AAAAAFRdvMQ=")</f>
        <v>#REF!</v>
      </c>
      <c r="GP11" t="e">
        <f>AND(Export!#REF!,"AAAAAFRdvMU=")</f>
        <v>#REF!</v>
      </c>
      <c r="GQ11" t="e">
        <f>AND(Export!#REF!,"AAAAAFRdvMY=")</f>
        <v>#REF!</v>
      </c>
      <c r="GR11" t="e">
        <f>AND(Export!D5,"AAAAAFRdvMc=")</f>
        <v>#VALUE!</v>
      </c>
      <c r="GS11" t="e">
        <f>AND(Export!E5,"AAAAAFRdvMg=")</f>
        <v>#VALUE!</v>
      </c>
      <c r="GT11">
        <f>IF(Export!6:6,"AAAAAFRdvMk=",0)</f>
        <v>0</v>
      </c>
      <c r="GU11" t="e">
        <f>AND(Export!#REF!,"AAAAAFRdvMo=")</f>
        <v>#REF!</v>
      </c>
      <c r="GV11" t="e">
        <f>AND(Export!#REF!,"AAAAAFRdvMs=")</f>
        <v>#REF!</v>
      </c>
      <c r="GW11" t="e">
        <f>AND(Export!#REF!,"AAAAAFRdvMw=")</f>
        <v>#REF!</v>
      </c>
      <c r="GX11" t="e">
        <f>AND(Export!#REF!,"AAAAAFRdvM0=")</f>
        <v>#REF!</v>
      </c>
      <c r="GY11" t="e">
        <f>AND(Export!#REF!,"AAAAAFRdvM4=")</f>
        <v>#REF!</v>
      </c>
      <c r="GZ11" t="e">
        <f>AND(Export!#REF!,"AAAAAFRdvM8=")</f>
        <v>#REF!</v>
      </c>
      <c r="HA11" t="e">
        <f>AND(Export!#REF!,"AAAAAFRdvNA=")</f>
        <v>#REF!</v>
      </c>
      <c r="HB11" t="e">
        <f>AND(Export!#REF!,"AAAAAFRdvNE=")</f>
        <v>#REF!</v>
      </c>
      <c r="HC11" t="e">
        <f>AND(Export!D6,"AAAAAFRdvNI=")</f>
        <v>#VALUE!</v>
      </c>
      <c r="HD11" t="e">
        <f>AND(Export!E6,"AAAAAFRdvNM=")</f>
        <v>#VALUE!</v>
      </c>
      <c r="HE11">
        <f>IF(Export!7:7,"AAAAAFRdvNQ=",0)</f>
        <v>0</v>
      </c>
      <c r="HF11" t="e">
        <f>AND(Export!#REF!,"AAAAAFRdvNU=")</f>
        <v>#REF!</v>
      </c>
      <c r="HG11" t="e">
        <f>AND(Export!#REF!,"AAAAAFRdvNY=")</f>
        <v>#REF!</v>
      </c>
      <c r="HH11" t="e">
        <f>AND(Export!#REF!,"AAAAAFRdvNc=")</f>
        <v>#REF!</v>
      </c>
      <c r="HI11" t="e">
        <f>AND(Export!#REF!,"AAAAAFRdvNg=")</f>
        <v>#REF!</v>
      </c>
      <c r="HJ11" t="e">
        <f>AND(Export!#REF!,"AAAAAFRdvNk=")</f>
        <v>#REF!</v>
      </c>
      <c r="HK11" t="e">
        <f>AND(Export!#REF!,"AAAAAFRdvNo=")</f>
        <v>#REF!</v>
      </c>
      <c r="HL11" t="e">
        <f>AND(Export!#REF!,"AAAAAFRdvNs=")</f>
        <v>#REF!</v>
      </c>
      <c r="HM11" t="e">
        <f>AND(Export!#REF!,"AAAAAFRdvNw=")</f>
        <v>#REF!</v>
      </c>
      <c r="HN11" t="e">
        <f>AND(Export!D7,"AAAAAFRdvN0=")</f>
        <v>#VALUE!</v>
      </c>
      <c r="HO11" t="e">
        <f>AND(Export!E7,"AAAAAFRdvN4=")</f>
        <v>#VALUE!</v>
      </c>
      <c r="HP11">
        <f>IF(Export!8:8,"AAAAAFRdvN8=",0)</f>
        <v>0</v>
      </c>
      <c r="HQ11" t="e">
        <f>AND(Export!#REF!,"AAAAAFRdvOA=")</f>
        <v>#REF!</v>
      </c>
      <c r="HR11" t="e">
        <f>AND(Export!#REF!,"AAAAAFRdvOE=")</f>
        <v>#REF!</v>
      </c>
      <c r="HS11" t="e">
        <f>AND(Export!#REF!,"AAAAAFRdvOI=")</f>
        <v>#REF!</v>
      </c>
      <c r="HT11" t="e">
        <f>AND(Export!#REF!,"AAAAAFRdvOM=")</f>
        <v>#REF!</v>
      </c>
      <c r="HU11" t="e">
        <f>AND(Export!#REF!,"AAAAAFRdvOQ=")</f>
        <v>#REF!</v>
      </c>
      <c r="HV11" t="e">
        <f>AND(Export!#REF!,"AAAAAFRdvOU=")</f>
        <v>#REF!</v>
      </c>
      <c r="HW11" t="e">
        <f>AND(Export!#REF!,"AAAAAFRdvOY=")</f>
        <v>#REF!</v>
      </c>
      <c r="HX11" t="e">
        <f>AND(Export!#REF!,"AAAAAFRdvOc=")</f>
        <v>#REF!</v>
      </c>
      <c r="HY11" t="e">
        <f>AND(Export!D8,"AAAAAFRdvOg=")</f>
        <v>#VALUE!</v>
      </c>
      <c r="HZ11" t="e">
        <f>AND(Export!E8,"AAAAAFRdvOk=")</f>
        <v>#VALUE!</v>
      </c>
      <c r="IA11">
        <f>IF(Export!9:9,"AAAAAFRdvOo=",0)</f>
        <v>0</v>
      </c>
      <c r="IB11" t="e">
        <f>AND(Export!#REF!,"AAAAAFRdvOs=")</f>
        <v>#REF!</v>
      </c>
      <c r="IC11" t="e">
        <f>AND(Export!#REF!,"AAAAAFRdvOw=")</f>
        <v>#REF!</v>
      </c>
      <c r="ID11" t="e">
        <f>AND(Export!#REF!,"AAAAAFRdvO0=")</f>
        <v>#REF!</v>
      </c>
      <c r="IE11" t="e">
        <f>AND(Export!#REF!,"AAAAAFRdvO4=")</f>
        <v>#REF!</v>
      </c>
      <c r="IF11" t="e">
        <f>AND(Export!#REF!,"AAAAAFRdvO8=")</f>
        <v>#REF!</v>
      </c>
      <c r="IG11" t="e">
        <f>AND(Export!#REF!,"AAAAAFRdvPA=")</f>
        <v>#REF!</v>
      </c>
      <c r="IH11" t="e">
        <f>AND(Export!#REF!,"AAAAAFRdvPE=")</f>
        <v>#REF!</v>
      </c>
      <c r="II11" t="e">
        <f>AND(Export!#REF!,"AAAAAFRdvPI=")</f>
        <v>#REF!</v>
      </c>
      <c r="IJ11" t="e">
        <f>AND(Export!D9,"AAAAAFRdvPM=")</f>
        <v>#VALUE!</v>
      </c>
      <c r="IK11" t="e">
        <f>AND(Export!E9,"AAAAAFRdvPQ=")</f>
        <v>#VALUE!</v>
      </c>
      <c r="IL11" t="e">
        <f>IF(Export!#REF!,"AAAAAFRdvPU=",0)</f>
        <v>#REF!</v>
      </c>
      <c r="IM11" t="e">
        <f>AND(Export!#REF!,"AAAAAFRdvPY=")</f>
        <v>#REF!</v>
      </c>
      <c r="IN11" t="e">
        <f>AND(Export!#REF!,"AAAAAFRdvPc=")</f>
        <v>#REF!</v>
      </c>
      <c r="IO11" t="e">
        <f>AND(Export!#REF!,"AAAAAFRdvPg=")</f>
        <v>#REF!</v>
      </c>
      <c r="IP11" t="e">
        <f>AND(Export!#REF!,"AAAAAFRdvPk=")</f>
        <v>#REF!</v>
      </c>
      <c r="IQ11" t="e">
        <f>AND(Export!#REF!,"AAAAAFRdvPo=")</f>
        <v>#REF!</v>
      </c>
      <c r="IR11" t="e">
        <f>AND(Export!#REF!,"AAAAAFRdvPs=")</f>
        <v>#REF!</v>
      </c>
      <c r="IS11" t="e">
        <f>AND(Export!#REF!,"AAAAAFRdvPw=")</f>
        <v>#REF!</v>
      </c>
      <c r="IT11" t="e">
        <f>AND(Export!#REF!,"AAAAAFRdvP0=")</f>
        <v>#REF!</v>
      </c>
      <c r="IU11" t="e">
        <f>AND(Export!#REF!,"AAAAAFRdvP4=")</f>
        <v>#REF!</v>
      </c>
      <c r="IV11" t="e">
        <f>AND(Export!#REF!,"AAAAAFRdvP8=")</f>
        <v>#REF!</v>
      </c>
    </row>
    <row r="12" spans="1:256" x14ac:dyDescent="0.3">
      <c r="A12" t="e">
        <f>IF(Export!#REF!,"AAAAAH7v/QA=",0)</f>
        <v>#REF!</v>
      </c>
      <c r="B12" t="e">
        <f>AND(Export!#REF!,"AAAAAH7v/QE=")</f>
        <v>#REF!</v>
      </c>
      <c r="C12" t="e">
        <f>AND(Export!#REF!,"AAAAAH7v/QI=")</f>
        <v>#REF!</v>
      </c>
      <c r="D12" t="e">
        <f>AND(Export!#REF!,"AAAAAH7v/QM=")</f>
        <v>#REF!</v>
      </c>
      <c r="E12" t="e">
        <f>AND(Export!#REF!,"AAAAAH7v/QQ=")</f>
        <v>#REF!</v>
      </c>
      <c r="F12" t="e">
        <f>AND(Export!#REF!,"AAAAAH7v/QU=")</f>
        <v>#REF!</v>
      </c>
      <c r="G12" t="e">
        <f>AND(Export!#REF!,"AAAAAH7v/QY=")</f>
        <v>#REF!</v>
      </c>
      <c r="H12" t="e">
        <f>AND(Export!#REF!,"AAAAAH7v/Qc=")</f>
        <v>#REF!</v>
      </c>
      <c r="I12" t="e">
        <f>AND(Export!#REF!,"AAAAAH7v/Qg=")</f>
        <v>#REF!</v>
      </c>
      <c r="J12" t="e">
        <f>AND(Export!#REF!,"AAAAAH7v/Qk=")</f>
        <v>#REF!</v>
      </c>
      <c r="K12" t="e">
        <f>AND(Export!#REF!,"AAAAAH7v/Qo=")</f>
        <v>#REF!</v>
      </c>
      <c r="L12" t="e">
        <f>IF(Export!#REF!,"AAAAAH7v/Qs=",0)</f>
        <v>#REF!</v>
      </c>
      <c r="M12" t="e">
        <f>AND(Export!#REF!,"AAAAAH7v/Qw=")</f>
        <v>#REF!</v>
      </c>
      <c r="N12" t="e">
        <f>AND(Export!#REF!,"AAAAAH7v/Q0=")</f>
        <v>#REF!</v>
      </c>
      <c r="O12" t="e">
        <f>AND(Export!#REF!,"AAAAAH7v/Q4=")</f>
        <v>#REF!</v>
      </c>
      <c r="P12" t="e">
        <f>AND(Export!#REF!,"AAAAAH7v/Q8=")</f>
        <v>#REF!</v>
      </c>
      <c r="Q12" t="e">
        <f>AND(Export!#REF!,"AAAAAH7v/RA=")</f>
        <v>#REF!</v>
      </c>
      <c r="R12" t="e">
        <f>AND(Export!#REF!,"AAAAAH7v/RE=")</f>
        <v>#REF!</v>
      </c>
      <c r="S12" t="e">
        <f>AND(Export!#REF!,"AAAAAH7v/RI=")</f>
        <v>#REF!</v>
      </c>
      <c r="T12" t="e">
        <f>AND(Export!#REF!,"AAAAAH7v/RM=")</f>
        <v>#REF!</v>
      </c>
      <c r="U12" t="e">
        <f>AND(Export!#REF!,"AAAAAH7v/RQ=")</f>
        <v>#REF!</v>
      </c>
      <c r="V12" t="e">
        <f>AND(Export!#REF!,"AAAAAH7v/RU=")</f>
        <v>#REF!</v>
      </c>
      <c r="W12">
        <f>IF(Export!10:10,"AAAAAH7v/RY=",0)</f>
        <v>0</v>
      </c>
      <c r="X12" t="e">
        <f>AND(Export!#REF!,"AAAAAH7v/Rc=")</f>
        <v>#REF!</v>
      </c>
      <c r="Y12" t="e">
        <f>AND(Export!#REF!,"AAAAAH7v/Rg=")</f>
        <v>#REF!</v>
      </c>
      <c r="Z12" t="e">
        <f>AND(Export!#REF!,"AAAAAH7v/Rk=")</f>
        <v>#REF!</v>
      </c>
      <c r="AA12" t="e">
        <f>AND(Export!#REF!,"AAAAAH7v/Ro=")</f>
        <v>#REF!</v>
      </c>
      <c r="AB12" t="e">
        <f>AND(Export!#REF!,"AAAAAH7v/Rs=")</f>
        <v>#REF!</v>
      </c>
      <c r="AC12" t="e">
        <f>AND(Export!#REF!,"AAAAAH7v/Rw=")</f>
        <v>#REF!</v>
      </c>
      <c r="AD12" t="e">
        <f>AND(Export!#REF!,"AAAAAH7v/R0=")</f>
        <v>#REF!</v>
      </c>
      <c r="AE12" t="e">
        <f>AND(Export!#REF!,"AAAAAH7v/R4=")</f>
        <v>#REF!</v>
      </c>
      <c r="AF12" t="e">
        <f>AND(Export!D10,"AAAAAH7v/R8=")</f>
        <v>#VALUE!</v>
      </c>
      <c r="AG12" t="e">
        <f>AND(Export!E10,"AAAAAH7v/SA=")</f>
        <v>#VALUE!</v>
      </c>
      <c r="AH12" t="e">
        <f>IF(Export!#REF!,"AAAAAH7v/SE=",0)</f>
        <v>#REF!</v>
      </c>
      <c r="AI12" t="e">
        <f>AND(Export!#REF!,"AAAAAH7v/SI=")</f>
        <v>#REF!</v>
      </c>
      <c r="AJ12" t="e">
        <f>AND(Export!#REF!,"AAAAAH7v/SM=")</f>
        <v>#REF!</v>
      </c>
      <c r="AK12" t="e">
        <f>AND(Export!#REF!,"AAAAAH7v/SQ=")</f>
        <v>#REF!</v>
      </c>
      <c r="AL12" t="e">
        <f>AND(Export!#REF!,"AAAAAH7v/SU=")</f>
        <v>#REF!</v>
      </c>
      <c r="AM12" t="e">
        <f>AND(Export!#REF!,"AAAAAH7v/SY=")</f>
        <v>#REF!</v>
      </c>
      <c r="AN12" t="e">
        <f>AND(Export!#REF!,"AAAAAH7v/Sc=")</f>
        <v>#REF!</v>
      </c>
      <c r="AO12" t="e">
        <f>AND(Export!#REF!,"AAAAAH7v/Sg=")</f>
        <v>#REF!</v>
      </c>
      <c r="AP12" t="e">
        <f>AND(Export!#REF!,"AAAAAH7v/Sk=")</f>
        <v>#REF!</v>
      </c>
      <c r="AQ12" t="e">
        <f>AND(Export!#REF!,"AAAAAH7v/So=")</f>
        <v>#REF!</v>
      </c>
      <c r="AR12" t="e">
        <f>AND(Export!#REF!,"AAAAAH7v/Ss=")</f>
        <v>#REF!</v>
      </c>
      <c r="AS12" t="e">
        <f>IF(Export!#REF!,"AAAAAH7v/Sw=",0)</f>
        <v>#REF!</v>
      </c>
      <c r="AT12" t="e">
        <f>AND(Export!#REF!,"AAAAAH7v/S0=")</f>
        <v>#REF!</v>
      </c>
      <c r="AU12" t="e">
        <f>AND(Export!#REF!,"AAAAAH7v/S4=")</f>
        <v>#REF!</v>
      </c>
      <c r="AV12" t="e">
        <f>AND(Export!#REF!,"AAAAAH7v/S8=")</f>
        <v>#REF!</v>
      </c>
      <c r="AW12" t="e">
        <f>AND(Export!#REF!,"AAAAAH7v/TA=")</f>
        <v>#REF!</v>
      </c>
      <c r="AX12" t="e">
        <f>AND(Export!#REF!,"AAAAAH7v/TE=")</f>
        <v>#REF!</v>
      </c>
      <c r="AY12" t="e">
        <f>AND(Export!#REF!,"AAAAAH7v/TI=")</f>
        <v>#REF!</v>
      </c>
      <c r="AZ12" t="e">
        <f>AND(Export!#REF!,"AAAAAH7v/TM=")</f>
        <v>#REF!</v>
      </c>
      <c r="BA12" t="e">
        <f>AND(Export!#REF!,"AAAAAH7v/TQ=")</f>
        <v>#REF!</v>
      </c>
      <c r="BB12" t="e">
        <f>AND(Export!#REF!,"AAAAAH7v/TU=")</f>
        <v>#REF!</v>
      </c>
      <c r="BC12" t="e">
        <f>AND(Export!#REF!,"AAAAAH7v/TY=")</f>
        <v>#REF!</v>
      </c>
      <c r="BD12" t="e">
        <f>IF(Export!#REF!,"AAAAAH7v/Tc=",0)</f>
        <v>#REF!</v>
      </c>
      <c r="BE12" t="e">
        <f>AND(Export!#REF!,"AAAAAH7v/Tg=")</f>
        <v>#REF!</v>
      </c>
      <c r="BF12" t="e">
        <f>AND(Export!#REF!,"AAAAAH7v/Tk=")</f>
        <v>#REF!</v>
      </c>
      <c r="BG12" t="e">
        <f>AND(Export!#REF!,"AAAAAH7v/To=")</f>
        <v>#REF!</v>
      </c>
      <c r="BH12" t="e">
        <f>AND(Export!#REF!,"AAAAAH7v/Ts=")</f>
        <v>#REF!</v>
      </c>
      <c r="BI12" t="e">
        <f>AND(Export!#REF!,"AAAAAH7v/Tw=")</f>
        <v>#REF!</v>
      </c>
      <c r="BJ12" t="e">
        <f>AND(Export!#REF!,"AAAAAH7v/T0=")</f>
        <v>#REF!</v>
      </c>
      <c r="BK12" t="e">
        <f>AND(Export!#REF!,"AAAAAH7v/T4=")</f>
        <v>#REF!</v>
      </c>
      <c r="BL12" t="e">
        <f>AND(Export!#REF!,"AAAAAH7v/T8=")</f>
        <v>#REF!</v>
      </c>
      <c r="BM12" t="e">
        <f>AND(Export!#REF!,"AAAAAH7v/UA=")</f>
        <v>#REF!</v>
      </c>
      <c r="BN12" t="e">
        <f>AND(Export!#REF!,"AAAAAH7v/UE=")</f>
        <v>#REF!</v>
      </c>
      <c r="BO12">
        <f>IF(Export!24:24,"AAAAAH7v/UI=",0)</f>
        <v>0</v>
      </c>
      <c r="BP12" t="e">
        <f>AND(Export!#REF!,"AAAAAH7v/UM=")</f>
        <v>#REF!</v>
      </c>
      <c r="BQ12" t="e">
        <f>AND(Export!#REF!,"AAAAAH7v/UQ=")</f>
        <v>#REF!</v>
      </c>
      <c r="BR12" t="e">
        <f>AND(Export!#REF!,"AAAAAH7v/UU=")</f>
        <v>#REF!</v>
      </c>
      <c r="BS12" t="e">
        <f>AND(Export!#REF!,"AAAAAH7v/UY=")</f>
        <v>#REF!</v>
      </c>
      <c r="BT12" t="e">
        <f>AND(Export!#REF!,"AAAAAH7v/Uc=")</f>
        <v>#REF!</v>
      </c>
      <c r="BU12" t="e">
        <f>AND(Export!#REF!,"AAAAAH7v/Ug=")</f>
        <v>#REF!</v>
      </c>
      <c r="BV12" t="e">
        <f>AND(Export!#REF!,"AAAAAH7v/Uk=")</f>
        <v>#REF!</v>
      </c>
      <c r="BW12" t="e">
        <f>AND(Export!#REF!,"AAAAAH7v/Uo=")</f>
        <v>#REF!</v>
      </c>
      <c r="BX12" t="e">
        <f>AND(Export!D24,"AAAAAH7v/Us=")</f>
        <v>#VALUE!</v>
      </c>
      <c r="BY12" t="e">
        <f>AND(Export!E24,"AAAAAH7v/Uw=")</f>
        <v>#VALUE!</v>
      </c>
      <c r="BZ12">
        <f>IF(Export!25:25,"AAAAAH7v/U0=",0)</f>
        <v>0</v>
      </c>
      <c r="CA12" t="e">
        <f>AND(Export!#REF!,"AAAAAH7v/U4=")</f>
        <v>#REF!</v>
      </c>
      <c r="CB12" t="e">
        <f>AND(Export!#REF!,"AAAAAH7v/U8=")</f>
        <v>#REF!</v>
      </c>
      <c r="CC12" t="e">
        <f>AND(Export!#REF!,"AAAAAH7v/VA=")</f>
        <v>#REF!</v>
      </c>
      <c r="CD12" t="e">
        <f>AND(Export!#REF!,"AAAAAH7v/VE=")</f>
        <v>#REF!</v>
      </c>
      <c r="CE12" t="e">
        <f>AND(Export!#REF!,"AAAAAH7v/VI=")</f>
        <v>#REF!</v>
      </c>
      <c r="CF12" t="e">
        <f>AND(Export!#REF!,"AAAAAH7v/VM=")</f>
        <v>#REF!</v>
      </c>
      <c r="CG12" t="e">
        <f>AND(Export!#REF!,"AAAAAH7v/VQ=")</f>
        <v>#REF!</v>
      </c>
      <c r="CH12" t="e">
        <f>AND(Export!#REF!,"AAAAAH7v/VU=")</f>
        <v>#REF!</v>
      </c>
      <c r="CI12" t="e">
        <f>AND(Export!D25,"AAAAAH7v/VY=")</f>
        <v>#VALUE!</v>
      </c>
      <c r="CJ12" t="e">
        <f>AND(Export!E25,"AAAAAH7v/Vc=")</f>
        <v>#VALUE!</v>
      </c>
      <c r="CK12" t="e">
        <f>IF(Export!#REF!,"AAAAAH7v/Vg=",0)</f>
        <v>#REF!</v>
      </c>
      <c r="CL12" t="e">
        <f>IF(_xlfn.SINGLE(Export!#REF!),"AAAAAH7v/Vk=",0)</f>
        <v>#REF!</v>
      </c>
      <c r="CM12" t="e">
        <f>IF(_xlfn.SINGLE(Export!#REF!),"AAAAAH7v/Vo=",0)</f>
        <v>#REF!</v>
      </c>
      <c r="CN12" t="e">
        <f>IF(_xlfn.SINGLE(Export!#REF!),"AAAAAH7v/Vs=",0)</f>
        <v>#REF!</v>
      </c>
      <c r="CO12" t="e">
        <f>IF(_xlfn.SINGLE(Export!#REF!),"AAAAAH7v/Vw=",0)</f>
        <v>#REF!</v>
      </c>
      <c r="CP12" t="e">
        <f>IF(_xlfn.SINGLE(Export!#REF!),"AAAAAH7v/V0=",0)</f>
        <v>#REF!</v>
      </c>
      <c r="CQ12" t="e">
        <f>IF(_xlfn.SINGLE(Export!#REF!),"AAAAAH7v/V4=",0)</f>
        <v>#REF!</v>
      </c>
      <c r="CR12" t="e">
        <f>IF(_xlfn.SINGLE(Export!#REF!),"AAAAAH7v/V8=",0)</f>
        <v>#REF!</v>
      </c>
      <c r="CS12" t="e">
        <f>IF(_xlfn.SINGLE(Export!#REF!),"AAAAAH7v/WA=",0)</f>
        <v>#REF!</v>
      </c>
      <c r="CT12" t="e">
        <f>IF(_xlfn.SINGLE(Export!#REF!),"AAAAAH7v/WE=",0)</f>
        <v>#REF!</v>
      </c>
      <c r="CU12" t="e">
        <f>IF(_xlfn.SINGLE(Export!#REF!),"AAAAAH7v/WI=",0)</f>
        <v>#REF!</v>
      </c>
      <c r="CV12">
        <f>IF(Export!26:26,"AAAAAH7v/WM=",0)</f>
        <v>0</v>
      </c>
      <c r="CW12" t="e">
        <f>IF(_xlfn.SINGLE(Export!#REF!),"AAAAAH7v/WQ=",0)</f>
        <v>#REF!</v>
      </c>
      <c r="CX12">
        <f>IF(Export!27:27,"AAAAAH7v/WU=",0)</f>
        <v>0</v>
      </c>
      <c r="CY12">
        <f>IF(Export!28:28,"AAAAAH7v/WY=",0)</f>
        <v>0</v>
      </c>
      <c r="CZ12" t="e">
        <f>IF(Export!#REF!,"AAAAAH7v/Wc=",0)</f>
        <v>#REF!</v>
      </c>
      <c r="DA12" t="e">
        <f>IF(Export!#REF!,"AAAAAH7v/Wg=",0)</f>
        <v>#REF!</v>
      </c>
      <c r="DB12" t="e">
        <f>IF(Export!#REF!,"AAAAAH7v/Wk=",0)</f>
        <v>#REF!</v>
      </c>
      <c r="DC12" t="e">
        <f>IF(Export!#REF!,"AAAAAH7v/Wo=",0)</f>
        <v>#REF!</v>
      </c>
      <c r="DD12" t="e">
        <f>IF(Export!#REF!,"AAAAAH7v/Ws=",0)</f>
        <v>#REF!</v>
      </c>
      <c r="DE12" t="e">
        <f>IF(_xlfn.SINGLE(Export!#REF!),"AAAAAH7v/Ww=",0)</f>
        <v>#REF!</v>
      </c>
      <c r="DF12" t="e">
        <f>IF(_xlfn.SINGLE(Export!#REF!),"AAAAAH7v/W0=",0)</f>
        <v>#REF!</v>
      </c>
      <c r="DG12" t="e">
        <f>IF(_xlfn.SINGLE(Export!#REF!),"AAAAAH7v/W4=",0)</f>
        <v>#REF!</v>
      </c>
      <c r="DH12">
        <f>IF(Export!D:D,"AAAAAH7v/W8=",0)</f>
        <v>0</v>
      </c>
      <c r="DI12">
        <f>IF(Export!E:E,"AAAAAH7v/XA=",0)</f>
        <v>0</v>
      </c>
      <c r="DJ12" t="e">
        <f>IF(#REF!,"AAAAAH7v/XE=",0)</f>
        <v>#REF!</v>
      </c>
      <c r="DK12" t="e">
        <f>AND(#REF!,"AAAAAH7v/XI=")</f>
        <v>#REF!</v>
      </c>
      <c r="DL12" t="e">
        <f>IF(#REF!,"AAAAAH7v/XM=",0)</f>
        <v>#REF!</v>
      </c>
      <c r="DM12" t="e">
        <f>IF("N",AnimType,"AAAAAH7v/XQ=")</f>
        <v>#VALUE!</v>
      </c>
      <c r="DN12" t="e">
        <f>IF("N",LoopType,"AAAAAH7v/XU=")</f>
        <v>#VALUE!</v>
      </c>
      <c r="DO12" t="e">
        <f>IF("N",SoundType,"AAAAAH7v/XY=")</f>
        <v>#VALUE!</v>
      </c>
    </row>
    <row r="13" spans="1:256" x14ac:dyDescent="0.3">
      <c r="A13" t="e">
        <f>IF(Database!1:1,"AAAAAB///QA=",0)</f>
        <v>#VALUE!</v>
      </c>
      <c r="B13" t="e">
        <f>AND(Database!A1,"AAAAAB///QE=")</f>
        <v>#VALUE!</v>
      </c>
      <c r="C13" t="e">
        <f>AND(Database!#REF!,"AAAAAB///QI=")</f>
        <v>#REF!</v>
      </c>
      <c r="D13" t="e">
        <f>AND(Database!#REF!,"AAAAAB///QM=")</f>
        <v>#REF!</v>
      </c>
      <c r="E13" t="e">
        <f>AND(Database!#REF!,"AAAAAB///QQ=")</f>
        <v>#REF!</v>
      </c>
      <c r="F13" t="e">
        <f>AND(Database!#REF!,"AAAAAB///QU=")</f>
        <v>#REF!</v>
      </c>
      <c r="G13" t="e">
        <f>AND(Database!#REF!,"AAAAAB///QY=")</f>
        <v>#REF!</v>
      </c>
      <c r="H13" t="e">
        <f>AND(Database!#REF!,"AAAAAB///Qc=")</f>
        <v>#REF!</v>
      </c>
      <c r="I13" t="e">
        <f>AND(Database!#REF!,"AAAAAB///Qg=")</f>
        <v>#REF!</v>
      </c>
      <c r="J13" t="e">
        <f>AND(Database!#REF!,"AAAAAB///Qk=")</f>
        <v>#REF!</v>
      </c>
      <c r="K13" t="e">
        <f>AND(Database!#REF!,"AAAAAB///Qo=")</f>
        <v>#REF!</v>
      </c>
      <c r="L13" t="e">
        <f>AND(Database!#REF!,"AAAAAB///Qs=")</f>
        <v>#REF!</v>
      </c>
      <c r="M13" t="e">
        <f>AND(Database!#REF!,"AAAAAB///Qw=")</f>
        <v>#REF!</v>
      </c>
      <c r="N13" t="e">
        <f>IF("N",Klass,"AAAAAB///Q0=")</f>
        <v>#VALUE!</v>
      </c>
    </row>
    <row r="14" spans="1:256" x14ac:dyDescent="0.3">
      <c r="A14" t="e">
        <f>AND(Database!#REF!,"AAAAAF/+6QA=")</f>
        <v>#REF!</v>
      </c>
      <c r="B14" t="e">
        <f>AND(Database!#REF!,"AAAAAF/+6QE=")</f>
        <v>#REF!</v>
      </c>
      <c r="C14" t="e">
        <f>AND(Database!#REF!,"AAAAAF/+6QI=")</f>
        <v>#REF!</v>
      </c>
      <c r="D14" t="e">
        <f>AND(Database!#REF!,"AAAAAF/+6QM=")</f>
        <v>#REF!</v>
      </c>
      <c r="E14" t="e">
        <f>AND(Database!#REF!,"AAAAAF/+6QQ=")</f>
        <v>#REF!</v>
      </c>
      <c r="F14" t="e">
        <f>AND(Database!#REF!,"AAAAAF/+6QU=")</f>
        <v>#REF!</v>
      </c>
      <c r="G14" t="e">
        <f>AND(Database!#REF!,"AAAAAF/+6QY=")</f>
        <v>#REF!</v>
      </c>
      <c r="H14" t="e">
        <f>AND(Database!#REF!,"AAAAAF/+6Qc=")</f>
        <v>#REF!</v>
      </c>
      <c r="I14" t="e">
        <f>AND(Database!#REF!,"AAAAAF/+6Qg=")</f>
        <v>#REF!</v>
      </c>
      <c r="J14" t="e">
        <f>AND(Database!#REF!,"AAAAAF/+6Qk=")</f>
        <v>#REF!</v>
      </c>
      <c r="K14" t="e">
        <f>AND(Database!#REF!,"AAAAAF/+6Qo=")</f>
        <v>#REF!</v>
      </c>
      <c r="L14" t="e">
        <f>AND(Database!#REF!,"AAAAAF/+6Qs=")</f>
        <v>#REF!</v>
      </c>
      <c r="M14" t="e">
        <f>AND(Database!#REF!,"AAAAAF/+6Qw=")</f>
        <v>#REF!</v>
      </c>
      <c r="N14" t="e">
        <f>AND(Database!#REF!,"AAAAAF/+6Q0=")</f>
        <v>#REF!</v>
      </c>
      <c r="O14" t="e">
        <f>AND(Database!#REF!,"AAAAAF/+6Q4=")</f>
        <v>#REF!</v>
      </c>
      <c r="P14" t="e">
        <f>AND(Database!#REF!,"AAAAAF/+6Q8=")</f>
        <v>#REF!</v>
      </c>
      <c r="Q14" t="e">
        <f>IF(Database!3:3,"AAAAAF/+6RA=",0)</f>
        <v>#VALUE!</v>
      </c>
      <c r="R14" t="e">
        <f>AND(Database!A3,"AAAAAF/+6RE=")</f>
        <v>#VALUE!</v>
      </c>
      <c r="S14" t="e">
        <f>AND(Database!#REF!,"AAAAAF/+6RI=")</f>
        <v>#REF!</v>
      </c>
      <c r="T14" t="e">
        <f>AND(Database!#REF!,"AAAAAF/+6RM=")</f>
        <v>#REF!</v>
      </c>
      <c r="U14" t="e">
        <f>AND(Database!#REF!,"AAAAAF/+6RQ=")</f>
        <v>#REF!</v>
      </c>
      <c r="V14" t="e">
        <f>AND(Database!#REF!,"AAAAAF/+6RU=")</f>
        <v>#REF!</v>
      </c>
      <c r="W14" t="e">
        <f>AND(Database!#REF!,"AAAAAF/+6RY=")</f>
        <v>#REF!</v>
      </c>
      <c r="X14" t="e">
        <f>AND(Database!#REF!,"AAAAAF/+6Rc=")</f>
        <v>#REF!</v>
      </c>
      <c r="Y14" t="e">
        <f>AND(Database!#REF!,"AAAAAF/+6Rg=")</f>
        <v>#REF!</v>
      </c>
      <c r="Z14" t="e">
        <f>AND(Database!#REF!,"AAAAAF/+6Rk=")</f>
        <v>#REF!</v>
      </c>
      <c r="AA14" t="e">
        <f>AND(Database!#REF!,"AAAAAF/+6Ro=")</f>
        <v>#REF!</v>
      </c>
      <c r="AB14" t="e">
        <f>AND(Database!#REF!,"AAAAAF/+6Rs=")</f>
        <v>#REF!</v>
      </c>
      <c r="AC14" t="e">
        <f>AND(Database!#REF!,"AAAAAF/+6Rw=")</f>
        <v>#REF!</v>
      </c>
      <c r="AD14" t="e">
        <f>AND(Database!#REF!,"AAAAAF/+6R0=")</f>
        <v>#REF!</v>
      </c>
      <c r="AE14" t="e">
        <f>AND(Database!#REF!,"AAAAAF/+6R4=")</f>
        <v>#REF!</v>
      </c>
      <c r="AF14" t="e">
        <f>AND(Database!#REF!,"AAAAAF/+6R8=")</f>
        <v>#REF!</v>
      </c>
      <c r="AG14" t="e">
        <f>AND(Database!#REF!,"AAAAAF/+6SA=")</f>
        <v>#REF!</v>
      </c>
      <c r="AH14" t="e">
        <f>AND(Database!#REF!,"AAAAAF/+6SE=")</f>
        <v>#REF!</v>
      </c>
      <c r="AI14" t="e">
        <f>AND(Database!#REF!,"AAAAAF/+6SI=")</f>
        <v>#REF!</v>
      </c>
      <c r="AJ14" t="e">
        <f>AND(Database!#REF!,"AAAAAF/+6SM=")</f>
        <v>#REF!</v>
      </c>
      <c r="AK14" t="e">
        <f>AND(Database!#REF!,"AAAAAF/+6SQ=")</f>
        <v>#REF!</v>
      </c>
      <c r="AL14" t="e">
        <f>AND(Database!#REF!,"AAAAAF/+6SU=")</f>
        <v>#REF!</v>
      </c>
      <c r="AM14" t="e">
        <f>AND(Database!#REF!,"AAAAAF/+6SY=")</f>
        <v>#REF!</v>
      </c>
      <c r="AN14" t="e">
        <f>AND(Database!#REF!,"AAAAAF/+6Sc=")</f>
        <v>#REF!</v>
      </c>
      <c r="AO14" t="e">
        <f>AND(Database!#REF!,"AAAAAF/+6Sg=")</f>
        <v>#REF!</v>
      </c>
      <c r="AP14" t="e">
        <f>AND(Database!#REF!,"AAAAAF/+6Sk=")</f>
        <v>#REF!</v>
      </c>
      <c r="AQ14" t="e">
        <f>AND(Database!#REF!,"AAAAAF/+6So=")</f>
        <v>#REF!</v>
      </c>
      <c r="AR14" t="e">
        <f>AND(Database!#REF!,"AAAAAF/+6Ss=")</f>
        <v>#REF!</v>
      </c>
      <c r="AS14" t="e">
        <f>AND(Database!#REF!,"AAAAAF/+6Sw=")</f>
        <v>#REF!</v>
      </c>
      <c r="AT14" t="e">
        <f>AND(Database!#REF!,"AAAAAF/+6S0=")</f>
        <v>#REF!</v>
      </c>
      <c r="AU14" t="e">
        <f>AND(Database!#REF!,"AAAAAF/+6S4=")</f>
        <v>#REF!</v>
      </c>
      <c r="AV14" t="e">
        <f>AND(Database!#REF!,"AAAAAF/+6S8=")</f>
        <v>#REF!</v>
      </c>
      <c r="AW14" t="e">
        <f>AND(Database!#REF!,"AAAAAF/+6TA=")</f>
        <v>#REF!</v>
      </c>
      <c r="AX14" t="e">
        <f>AND(Database!#REF!,"AAAAAF/+6TE=")</f>
        <v>#REF!</v>
      </c>
      <c r="AY14" t="e">
        <f>AND(Database!#REF!,"AAAAAF/+6TI=")</f>
        <v>#REF!</v>
      </c>
      <c r="AZ14" t="e">
        <f>AND(Database!#REF!,"AAAAAF/+6TM=")</f>
        <v>#REF!</v>
      </c>
      <c r="BA14" t="e">
        <f>AND(Database!#REF!,"AAAAAF/+6TQ=")</f>
        <v>#REF!</v>
      </c>
      <c r="BB14" t="e">
        <f>AND(Database!#REF!,"AAAAAF/+6TU=")</f>
        <v>#REF!</v>
      </c>
      <c r="BC14" t="e">
        <f>AND(Database!#REF!,"AAAAAF/+6TY=")</f>
        <v>#REF!</v>
      </c>
      <c r="BD14" t="e">
        <f>AND(Database!#REF!,"AAAAAF/+6Tc=")</f>
        <v>#REF!</v>
      </c>
      <c r="BE14" t="e">
        <f>AND(Database!#REF!,"AAAAAF/+6Tg=")</f>
        <v>#REF!</v>
      </c>
      <c r="BF14" t="e">
        <f>AND(Database!#REF!,"AAAAAF/+6Tk=")</f>
        <v>#REF!</v>
      </c>
      <c r="BG14" t="e">
        <f>AND(Database!#REF!,"AAAAAF/+6To=")</f>
        <v>#REF!</v>
      </c>
      <c r="BH14" t="e">
        <f>AND(Database!#REF!,"AAAAAF/+6Ts=")</f>
        <v>#REF!</v>
      </c>
      <c r="BI14" t="e">
        <f>AND(Database!#REF!,"AAAAAF/+6Tw=")</f>
        <v>#REF!</v>
      </c>
      <c r="BJ14" t="e">
        <f>AND(Database!#REF!,"AAAAAF/+6T0=")</f>
        <v>#REF!</v>
      </c>
      <c r="BK14" t="e">
        <f>AND(Database!#REF!,"AAAAAF/+6T4=")</f>
        <v>#REF!</v>
      </c>
      <c r="BL14" t="e">
        <f>AND(Database!#REF!,"AAAAAF/+6T8=")</f>
        <v>#REF!</v>
      </c>
      <c r="BM14" t="e">
        <f>AND(Database!#REF!,"AAAAAF/+6UA=")</f>
        <v>#REF!</v>
      </c>
      <c r="BN14" t="e">
        <f>AND(Database!#REF!,"AAAAAF/+6UE=")</f>
        <v>#REF!</v>
      </c>
      <c r="BO14" t="e">
        <f>AND(Database!#REF!,"AAAAAF/+6UI=")</f>
        <v>#REF!</v>
      </c>
      <c r="BP14" t="e">
        <f>AND(Database!#REF!,"AAAAAF/+6UM=")</f>
        <v>#REF!</v>
      </c>
      <c r="BQ14" t="e">
        <f>AND(Database!#REF!,"AAAAAF/+6UQ=")</f>
        <v>#REF!</v>
      </c>
      <c r="BR14" t="e">
        <f>AND(Database!#REF!,"AAAAAF/+6UU=")</f>
        <v>#REF!</v>
      </c>
      <c r="BS14" t="e">
        <f>AND(Database!#REF!,"AAAAAF/+6UY=")</f>
        <v>#REF!</v>
      </c>
      <c r="BT14" t="e">
        <f>AND(Database!#REF!,"AAAAAF/+6Uc=")</f>
        <v>#REF!</v>
      </c>
      <c r="BU14" t="e">
        <f>AND(Database!#REF!,"AAAAAF/+6Ug=")</f>
        <v>#REF!</v>
      </c>
      <c r="BV14" t="e">
        <f>AND(Database!#REF!,"AAAAAF/+6Uk=")</f>
        <v>#REF!</v>
      </c>
      <c r="BW14" t="e">
        <f>AND(Database!#REF!,"AAAAAF/+6Uo=")</f>
        <v>#REF!</v>
      </c>
      <c r="BX14" t="e">
        <f>AND(Database!#REF!,"AAAAAF/+6Us=")</f>
        <v>#REF!</v>
      </c>
      <c r="BY14" t="e">
        <f>AND(Database!#REF!,"AAAAAF/+6Uw=")</f>
        <v>#REF!</v>
      </c>
      <c r="BZ14" t="e">
        <f>AND(Database!#REF!,"AAAAAF/+6U0=")</f>
        <v>#REF!</v>
      </c>
      <c r="CA14" t="e">
        <f>AND(Database!#REF!,"AAAAAF/+6U4=")</f>
        <v>#REF!</v>
      </c>
      <c r="CB14" t="e">
        <f>AND(Database!#REF!,"AAAAAF/+6U8=")</f>
        <v>#REF!</v>
      </c>
      <c r="CC14" t="e">
        <f>AND(Database!#REF!,"AAAAAF/+6VA=")</f>
        <v>#REF!</v>
      </c>
      <c r="CD14" t="e">
        <f>AND(Database!#REF!,"AAAAAF/+6VE=")</f>
        <v>#REF!</v>
      </c>
      <c r="CE14" t="e">
        <f>AND(Database!#REF!,"AAAAAF/+6VI=")</f>
        <v>#REF!</v>
      </c>
      <c r="CF14" t="e">
        <f>AND(Database!#REF!,"AAAAAF/+6VM=")</f>
        <v>#REF!</v>
      </c>
      <c r="CG14" t="e">
        <f>AND(Database!#REF!,"AAAAAF/+6VQ=")</f>
        <v>#REF!</v>
      </c>
      <c r="CH14" t="e">
        <f>AND(Database!#REF!,"AAAAAF/+6VU=")</f>
        <v>#REF!</v>
      </c>
      <c r="CI14" t="e">
        <f>AND(Database!#REF!,"AAAAAF/+6VY=")</f>
        <v>#REF!</v>
      </c>
      <c r="CJ14" t="e">
        <f>AND(Database!#REF!,"AAAAAF/+6Vc=")</f>
        <v>#REF!</v>
      </c>
      <c r="CK14" t="e">
        <f>AND(Database!#REF!,"AAAAAF/+6Vg=")</f>
        <v>#REF!</v>
      </c>
      <c r="CL14" t="e">
        <f>AND(Database!#REF!,"AAAAAF/+6Vk=")</f>
        <v>#REF!</v>
      </c>
      <c r="CM14" t="e">
        <f>AND(Database!#REF!,"AAAAAF/+6Vo=")</f>
        <v>#REF!</v>
      </c>
      <c r="CN14" t="e">
        <f>AND(Database!#REF!,"AAAAAF/+6Vs=")</f>
        <v>#REF!</v>
      </c>
      <c r="CO14" t="e">
        <f>AND(Database!#REF!,"AAAAAF/+6Vw=")</f>
        <v>#REF!</v>
      </c>
      <c r="CP14" t="e">
        <f>AND(Database!#REF!,"AAAAAF/+6V0=")</f>
        <v>#REF!</v>
      </c>
      <c r="CQ14" t="e">
        <f>AND(Database!#REF!,"AAAAAF/+6V4=")</f>
        <v>#REF!</v>
      </c>
      <c r="CR14" t="e">
        <f>AND(Database!#REF!,"AAAAAF/+6V8=")</f>
        <v>#REF!</v>
      </c>
      <c r="CS14" t="e">
        <f>AND(Database!#REF!,"AAAAAF/+6WA=")</f>
        <v>#REF!</v>
      </c>
      <c r="CT14" t="e">
        <f>AND(Database!#REF!,"AAAAAF/+6WE=")</f>
        <v>#REF!</v>
      </c>
      <c r="CU14" t="e">
        <f>AND(Database!#REF!,"AAAAAF/+6WI=")</f>
        <v>#REF!</v>
      </c>
      <c r="CV14" t="e">
        <f>AND(Database!#REF!,"AAAAAF/+6WM=")</f>
        <v>#REF!</v>
      </c>
      <c r="CW14" t="e">
        <f>AND(Database!#REF!,"AAAAAF/+6WQ=")</f>
        <v>#REF!</v>
      </c>
      <c r="CX14" t="e">
        <f>AND(Database!#REF!,"AAAAAF/+6WU=")</f>
        <v>#REF!</v>
      </c>
      <c r="CY14" t="e">
        <f>AND(Database!#REF!,"AAAAAF/+6WY=")</f>
        <v>#REF!</v>
      </c>
      <c r="CZ14" t="e">
        <f>AND(Database!#REF!,"AAAAAF/+6Wc=")</f>
        <v>#REF!</v>
      </c>
      <c r="DA14" t="e">
        <f>AND(Database!#REF!,"AAAAAF/+6Wg=")</f>
        <v>#REF!</v>
      </c>
      <c r="DB14" t="e">
        <f>AND(Database!#REF!,"AAAAAF/+6Wk=")</f>
        <v>#REF!</v>
      </c>
      <c r="DC14" t="e">
        <f>AND(Database!#REF!,"AAAAAF/+6Wo=")</f>
        <v>#REF!</v>
      </c>
      <c r="DD14" t="e">
        <f>AND(Database!#REF!,"AAAAAF/+6Ws=")</f>
        <v>#REF!</v>
      </c>
      <c r="DE14" t="e">
        <f>AND(Database!#REF!,"AAAAAF/+6Ww=")</f>
        <v>#REF!</v>
      </c>
      <c r="DF14" t="e">
        <f>AND(Database!#REF!,"AAAAAF/+6W0=")</f>
        <v>#REF!</v>
      </c>
      <c r="DG14" t="e">
        <f>AND(Database!#REF!,"AAAAAF/+6W4=")</f>
        <v>#REF!</v>
      </c>
      <c r="DH14" t="e">
        <f>AND(Database!#REF!,"AAAAAF/+6W8=")</f>
        <v>#REF!</v>
      </c>
      <c r="DI14" t="e">
        <f>AND(Database!#REF!,"AAAAAF/+6XA=")</f>
        <v>#REF!</v>
      </c>
      <c r="DJ14" t="e">
        <f>AND(Database!#REF!,"AAAAAF/+6XE=")</f>
        <v>#REF!</v>
      </c>
      <c r="DK14" t="e">
        <f>AND(Database!#REF!,"AAAAAF/+6XI=")</f>
        <v>#REF!</v>
      </c>
      <c r="DL14" t="e">
        <f>AND(Database!#REF!,"AAAAAF/+6XM=")</f>
        <v>#REF!</v>
      </c>
      <c r="DM14" t="e">
        <f>AND(Database!#REF!,"AAAAAF/+6XQ=")</f>
        <v>#REF!</v>
      </c>
      <c r="DN14" t="e">
        <f>AND(Database!#REF!,"AAAAAF/+6XU=")</f>
        <v>#REF!</v>
      </c>
      <c r="DO14" t="e">
        <f>AND(Database!#REF!,"AAAAAF/+6XY=")</f>
        <v>#REF!</v>
      </c>
      <c r="DP14" t="e">
        <f>AND(Database!#REF!,"AAAAAF/+6Xc=")</f>
        <v>#REF!</v>
      </c>
      <c r="DQ14" t="e">
        <f>AND(Database!#REF!,"AAAAAF/+6Xg=")</f>
        <v>#REF!</v>
      </c>
      <c r="DR14" t="e">
        <f>AND(Database!#REF!,"AAAAAF/+6Xk=")</f>
        <v>#REF!</v>
      </c>
      <c r="DS14" t="e">
        <f>AND(Database!#REF!,"AAAAAF/+6Xo=")</f>
        <v>#REF!</v>
      </c>
      <c r="DT14" t="e">
        <f>AND(Database!#REF!,"AAAAAF/+6Xs=")</f>
        <v>#REF!</v>
      </c>
      <c r="DU14" t="e">
        <f>AND(Database!#REF!,"AAAAAF/+6Xw=")</f>
        <v>#REF!</v>
      </c>
      <c r="DV14" t="e">
        <f>AND(Database!#REF!,"AAAAAF/+6X0=")</f>
        <v>#REF!</v>
      </c>
      <c r="DW14" t="e">
        <f>AND(Database!#REF!,"AAAAAF/+6X4=")</f>
        <v>#REF!</v>
      </c>
      <c r="DX14" t="e">
        <f>AND(Database!#REF!,"AAAAAF/+6X8=")</f>
        <v>#REF!</v>
      </c>
      <c r="DY14" t="e">
        <f>AND(Database!#REF!,"AAAAAF/+6YA=")</f>
        <v>#REF!</v>
      </c>
      <c r="DZ14" t="e">
        <f>AND(Database!#REF!,"AAAAAF/+6YE=")</f>
        <v>#REF!</v>
      </c>
      <c r="EA14" t="e">
        <f>AND(Database!#REF!,"AAAAAF/+6YI=")</f>
        <v>#REF!</v>
      </c>
      <c r="EB14" t="e">
        <f>AND(Database!#REF!,"AAAAAF/+6YM=")</f>
        <v>#REF!</v>
      </c>
      <c r="EC14" t="e">
        <f>AND(Database!#REF!,"AAAAAF/+6YQ=")</f>
        <v>#REF!</v>
      </c>
      <c r="ED14" t="e">
        <f>AND(Database!#REF!,"AAAAAF/+6YU=")</f>
        <v>#REF!</v>
      </c>
      <c r="EE14" t="e">
        <f>AND(Database!#REF!,"AAAAAF/+6YY=")</f>
        <v>#REF!</v>
      </c>
      <c r="EF14" t="e">
        <f>AND(Database!#REF!,"AAAAAF/+6Yc=")</f>
        <v>#REF!</v>
      </c>
      <c r="EG14" t="e">
        <f>AND(Database!#REF!,"AAAAAF/+6Yg=")</f>
        <v>#REF!</v>
      </c>
      <c r="EH14" t="e">
        <f>AND(Database!#REF!,"AAAAAF/+6Yk=")</f>
        <v>#REF!</v>
      </c>
      <c r="EI14" t="e">
        <f>AND(Database!#REF!,"AAAAAF/+6Yo=")</f>
        <v>#REF!</v>
      </c>
      <c r="EJ14" t="e">
        <f>AND(Database!#REF!,"AAAAAF/+6Ys=")</f>
        <v>#REF!</v>
      </c>
      <c r="EK14" t="e">
        <f>AND(Database!#REF!,"AAAAAF/+6Yw=")</f>
        <v>#REF!</v>
      </c>
      <c r="EL14" t="e">
        <f>AND(Database!#REF!,"AAAAAF/+6Y0=")</f>
        <v>#REF!</v>
      </c>
      <c r="EM14" t="e">
        <f>AND(Database!#REF!,"AAAAAF/+6Y4=")</f>
        <v>#REF!</v>
      </c>
      <c r="EN14" t="e">
        <f>AND(Database!#REF!,"AAAAAF/+6Y8=")</f>
        <v>#REF!</v>
      </c>
      <c r="EO14" t="e">
        <f>AND(Database!#REF!,"AAAAAF/+6ZA=")</f>
        <v>#REF!</v>
      </c>
      <c r="EP14" t="e">
        <f>AND(Database!#REF!,"AAAAAF/+6ZE=")</f>
        <v>#REF!</v>
      </c>
      <c r="EQ14" t="e">
        <f>AND(Database!#REF!,"AAAAAF/+6ZI=")</f>
        <v>#REF!</v>
      </c>
      <c r="ER14" t="e">
        <f>AND(Database!#REF!,"AAAAAF/+6ZM=")</f>
        <v>#REF!</v>
      </c>
      <c r="ES14" t="e">
        <f>AND(Database!#REF!,"AAAAAF/+6ZQ=")</f>
        <v>#REF!</v>
      </c>
      <c r="ET14" t="e">
        <f>AND(Database!#REF!,"AAAAAF/+6ZU=")</f>
        <v>#REF!</v>
      </c>
      <c r="EU14" t="e">
        <f>AND(Database!#REF!,"AAAAAF/+6ZY=")</f>
        <v>#REF!</v>
      </c>
      <c r="EV14" t="e">
        <f>AND(Database!#REF!,"AAAAAF/+6Zc=")</f>
        <v>#REF!</v>
      </c>
      <c r="EW14" t="e">
        <f>AND(Database!#REF!,"AAAAAF/+6Zg=")</f>
        <v>#REF!</v>
      </c>
      <c r="EX14" t="e">
        <f>AND(Database!#REF!,"AAAAAF/+6Zk=")</f>
        <v>#REF!</v>
      </c>
      <c r="EY14" t="e">
        <f>AND(Database!#REF!,"AAAAAF/+6Zo=")</f>
        <v>#REF!</v>
      </c>
      <c r="EZ14" t="e">
        <f>AND(Database!#REF!,"AAAAAF/+6Zs=")</f>
        <v>#REF!</v>
      </c>
      <c r="FA14" t="e">
        <f>AND(Database!#REF!,"AAAAAF/+6Zw=")</f>
        <v>#REF!</v>
      </c>
      <c r="FB14" t="e">
        <f>AND(Database!#REF!,"AAAAAF/+6Z0=")</f>
        <v>#REF!</v>
      </c>
      <c r="FC14" t="e">
        <f>AND(Database!#REF!,"AAAAAF/+6Z4=")</f>
        <v>#REF!</v>
      </c>
      <c r="FD14" t="e">
        <f>AND(Database!#REF!,"AAAAAF/+6Z8=")</f>
        <v>#REF!</v>
      </c>
      <c r="FE14" t="e">
        <f>AND(Database!#REF!,"AAAAAF/+6aA=")</f>
        <v>#REF!</v>
      </c>
      <c r="FF14" t="e">
        <f>AND(Database!#REF!,"AAAAAF/+6aE=")</f>
        <v>#REF!</v>
      </c>
      <c r="FG14" t="e">
        <f>AND(Database!#REF!,"AAAAAF/+6aI=")</f>
        <v>#REF!</v>
      </c>
      <c r="FH14" t="e">
        <f>AND(Database!#REF!,"AAAAAF/+6aM=")</f>
        <v>#REF!</v>
      </c>
      <c r="FI14" t="e">
        <f>AND(Database!#REF!,"AAAAAF/+6aQ=")</f>
        <v>#REF!</v>
      </c>
      <c r="FJ14" t="e">
        <f>AND(Database!#REF!,"AAAAAF/+6aU=")</f>
        <v>#REF!</v>
      </c>
      <c r="FK14" t="e">
        <f>AND(Database!#REF!,"AAAAAF/+6aY=")</f>
        <v>#REF!</v>
      </c>
      <c r="FL14" t="e">
        <f>AND(Database!#REF!,"AAAAAF/+6ac=")</f>
        <v>#REF!</v>
      </c>
      <c r="FM14" t="e">
        <f>AND(Database!#REF!,"AAAAAF/+6ag=")</f>
        <v>#REF!</v>
      </c>
      <c r="FN14" t="e">
        <f>AND(Database!#REF!,"AAAAAF/+6ak=")</f>
        <v>#REF!</v>
      </c>
      <c r="FO14" t="e">
        <f>AND(Database!#REF!,"AAAAAF/+6ao=")</f>
        <v>#REF!</v>
      </c>
      <c r="FP14" t="e">
        <f>AND(Database!#REF!,"AAAAAF/+6as=")</f>
        <v>#REF!</v>
      </c>
      <c r="FQ14" t="e">
        <f>AND(Database!#REF!,"AAAAAF/+6aw=")</f>
        <v>#REF!</v>
      </c>
      <c r="FR14" t="e">
        <f>AND(Database!#REF!,"AAAAAF/+6a0=")</f>
        <v>#REF!</v>
      </c>
      <c r="FS14" t="e">
        <f>AND(Database!#REF!,"AAAAAF/+6a4=")</f>
        <v>#REF!</v>
      </c>
      <c r="FT14" t="e">
        <f>AND(Database!#REF!,"AAAAAF/+6a8=")</f>
        <v>#REF!</v>
      </c>
      <c r="FU14" t="e">
        <f>AND(Database!#REF!,"AAAAAF/+6bA=")</f>
        <v>#REF!</v>
      </c>
      <c r="FV14" t="e">
        <f>AND(Database!#REF!,"AAAAAF/+6bE=")</f>
        <v>#REF!</v>
      </c>
      <c r="FW14" t="e">
        <f>AND(Database!#REF!,"AAAAAF/+6bI=")</f>
        <v>#REF!</v>
      </c>
      <c r="FX14" t="e">
        <f>AND(Database!#REF!,"AAAAAF/+6bM=")</f>
        <v>#REF!</v>
      </c>
      <c r="FY14" t="e">
        <f>AND(Database!#REF!,"AAAAAF/+6bQ=")</f>
        <v>#REF!</v>
      </c>
      <c r="FZ14" t="e">
        <f>AND(Database!#REF!,"AAAAAF/+6bU=")</f>
        <v>#REF!</v>
      </c>
      <c r="GA14" t="e">
        <f>AND(Database!#REF!,"AAAAAF/+6bY=")</f>
        <v>#REF!</v>
      </c>
      <c r="GB14" t="e">
        <f>AND(Database!#REF!,"AAAAAF/+6bc=")</f>
        <v>#REF!</v>
      </c>
      <c r="GC14" t="e">
        <f>AND(Database!#REF!,"AAAAAF/+6bg=")</f>
        <v>#REF!</v>
      </c>
      <c r="GD14" t="e">
        <f>AND(Database!#REF!,"AAAAAF/+6bk=")</f>
        <v>#REF!</v>
      </c>
      <c r="GE14" t="e">
        <f>AND(Database!#REF!,"AAAAAF/+6bo=")</f>
        <v>#REF!</v>
      </c>
      <c r="GF14" t="e">
        <f>AND(Database!#REF!,"AAAAAF/+6bs=")</f>
        <v>#REF!</v>
      </c>
      <c r="GG14" t="e">
        <f>AND(Database!#REF!,"AAAAAF/+6bw=")</f>
        <v>#REF!</v>
      </c>
      <c r="GH14" t="e">
        <f>AND(Database!#REF!,"AAAAAF/+6b0=")</f>
        <v>#REF!</v>
      </c>
      <c r="GI14" t="e">
        <f>AND(Database!#REF!,"AAAAAF/+6b4=")</f>
        <v>#REF!</v>
      </c>
      <c r="GJ14" t="e">
        <f>AND(Database!#REF!,"AAAAAF/+6b8=")</f>
        <v>#REF!</v>
      </c>
      <c r="GK14" t="e">
        <f>AND(Database!#REF!,"AAAAAF/+6cA=")</f>
        <v>#REF!</v>
      </c>
      <c r="GL14" t="e">
        <f>AND(Database!#REF!,"AAAAAF/+6cE=")</f>
        <v>#REF!</v>
      </c>
      <c r="GM14" t="e">
        <f>AND(Database!#REF!,"AAAAAF/+6cI=")</f>
        <v>#REF!</v>
      </c>
      <c r="GN14" t="e">
        <f>AND(Database!#REF!,"AAAAAF/+6cM=")</f>
        <v>#REF!</v>
      </c>
      <c r="GO14" t="e">
        <f>AND(Database!#REF!,"AAAAAF/+6cQ=")</f>
        <v>#REF!</v>
      </c>
      <c r="GP14" t="e">
        <f>AND(Database!#REF!,"AAAAAF/+6cU=")</f>
        <v>#REF!</v>
      </c>
      <c r="GQ14" t="e">
        <f>AND(Database!#REF!,"AAAAAF/+6cY=")</f>
        <v>#REF!</v>
      </c>
      <c r="GR14" t="e">
        <f>AND(Database!#REF!,"AAAAAF/+6cc=")</f>
        <v>#REF!</v>
      </c>
      <c r="GS14" t="e">
        <f>AND(Database!#REF!,"AAAAAF/+6cg=")</f>
        <v>#REF!</v>
      </c>
      <c r="GT14" t="e">
        <f>AND(Database!#REF!,"AAAAAF/+6ck=")</f>
        <v>#REF!</v>
      </c>
      <c r="GU14" t="e">
        <f>AND(Database!#REF!,"AAAAAF/+6co=")</f>
        <v>#REF!</v>
      </c>
      <c r="GV14" t="e">
        <f>AND(Database!#REF!,"AAAAAF/+6cs=")</f>
        <v>#REF!</v>
      </c>
      <c r="GW14" t="e">
        <f>AND(Database!#REF!,"AAAAAF/+6cw=")</f>
        <v>#REF!</v>
      </c>
      <c r="GX14" t="e">
        <f>AND(Database!#REF!,"AAAAAF/+6c0=")</f>
        <v>#REF!</v>
      </c>
      <c r="GY14" t="e">
        <f>AND(Database!#REF!,"AAAAAF/+6c4=")</f>
        <v>#REF!</v>
      </c>
      <c r="GZ14" t="e">
        <f>AND(Database!#REF!,"AAAAAF/+6c8=")</f>
        <v>#REF!</v>
      </c>
      <c r="HA14" t="e">
        <f>AND(Database!#REF!,"AAAAAF/+6dA=")</f>
        <v>#REF!</v>
      </c>
      <c r="HB14" t="e">
        <f>AND(Database!#REF!,"AAAAAF/+6dE=")</f>
        <v>#REF!</v>
      </c>
      <c r="HC14" t="e">
        <f>AND(Database!#REF!,"AAAAAF/+6dI=")</f>
        <v>#REF!</v>
      </c>
      <c r="HD14" t="e">
        <f>AND(Database!#REF!,"AAAAAF/+6dM=")</f>
        <v>#REF!</v>
      </c>
      <c r="HE14" t="e">
        <f>AND(Database!#REF!,"AAAAAF/+6dQ=")</f>
        <v>#REF!</v>
      </c>
      <c r="HF14" t="e">
        <f>IF(Database!#REF!,"AAAAAF/+6dU=",0)</f>
        <v>#REF!</v>
      </c>
      <c r="HG14" t="e">
        <f>IF(Database!#REF!,"AAAAAF/+6dY=",0)</f>
        <v>#REF!</v>
      </c>
      <c r="HH14" t="e">
        <f>IF(Database!#REF!,"AAAAAF/+6dc=",0)</f>
        <v>#REF!</v>
      </c>
      <c r="HI14" t="e">
        <f>IF(Database!#REF!,"AAAAAF/+6dg=",0)</f>
        <v>#REF!</v>
      </c>
      <c r="HJ14" t="e">
        <f>IF(Database!#REF!,"AAAAAF/+6dk=",0)</f>
        <v>#REF!</v>
      </c>
      <c r="HK14" t="e">
        <f>IF(Database!#REF!,"AAAAAF/+6do=",0)</f>
        <v>#REF!</v>
      </c>
      <c r="HL14" t="e">
        <f>IF(Database!#REF!,"AAAAAF/+6ds=",0)</f>
        <v>#REF!</v>
      </c>
      <c r="HM14" t="e">
        <f>IF(Database!#REF!,"AAAAAF/+6dw=",0)</f>
        <v>#REF!</v>
      </c>
      <c r="HN14" t="e">
        <f>AND(#REF!,"AAAAAF/+6d0=")</f>
        <v>#REF!</v>
      </c>
      <c r="HO14" t="e">
        <f>AND(#REF!,"AAAAAF/+6d4=")</f>
        <v>#REF!</v>
      </c>
      <c r="HP14" t="e">
        <f>AND(#REF!,"AAAAAF/+6d8=")</f>
        <v>#REF!</v>
      </c>
      <c r="HQ14" t="e">
        <f>AND(#REF!,"AAAAAF/+6eA=")</f>
        <v>#REF!</v>
      </c>
      <c r="HR14" t="e">
        <f>AND(#REF!,"AAAAAF/+6eE=")</f>
        <v>#REF!</v>
      </c>
      <c r="HS14" s="5" t="s">
        <v>3</v>
      </c>
      <c r="HT14" t="e">
        <f>IF("N",KaizinType,"AAAAAF/+6eM=")</f>
        <v>#VALUE!</v>
      </c>
    </row>
    <row r="15" spans="1:256" x14ac:dyDescent="0.3">
      <c r="A15" t="e">
        <f>AND(Database!#REF!,"AAAAAH+vfQA=")</f>
        <v>#REF!</v>
      </c>
      <c r="B15" t="e">
        <f>AND(Database!#REF!,"AAAAAH+vfQE=")</f>
        <v>#REF!</v>
      </c>
      <c r="C15" t="e">
        <f>AND(Database!#REF!,"AAAAAH+vfQI=")</f>
        <v>#REF!</v>
      </c>
      <c r="D15" t="e">
        <f>AND(Database!#REF!,"AAAAAH+vfQM=")</f>
        <v>#REF!</v>
      </c>
      <c r="E15" t="e">
        <f>AND(Database!#REF!,"AAAAAH+vfQQ=")</f>
        <v>#REF!</v>
      </c>
      <c r="F15" t="e">
        <f>AND(Database!#REF!,"AAAAAH+vfQU=")</f>
        <v>#REF!</v>
      </c>
      <c r="G15" t="e">
        <f>AND(Database!#REF!,"AAAAAH+vfQY=")</f>
        <v>#REF!</v>
      </c>
      <c r="H15" t="e">
        <f>AND(Database!#REF!,"AAAAAH+vfQc=")</f>
        <v>#REF!</v>
      </c>
      <c r="I15" t="e">
        <f>AND(Database!#REF!,"AAAAAH+vfQg=")</f>
        <v>#REF!</v>
      </c>
      <c r="J15" t="e">
        <f>AND(Database!#REF!,"AAAAAH+vfQk=")</f>
        <v>#REF!</v>
      </c>
      <c r="K15" t="e">
        <f>AND(Database!#REF!,"AAAAAH+vfQo=")</f>
        <v>#REF!</v>
      </c>
      <c r="L15" t="e">
        <f>AND(Database!#REF!,"AAAAAH+vfQs=")</f>
        <v>#REF!</v>
      </c>
      <c r="M15" t="e">
        <f>AND(Database!#REF!,"AAAAAH+vfQw=")</f>
        <v>#REF!</v>
      </c>
      <c r="N15" t="e">
        <f>AND(Database!#REF!,"AAAAAH+vfQ0=")</f>
        <v>#REF!</v>
      </c>
      <c r="O15" t="e">
        <f>AND(Database!#REF!,"AAAAAH+vfQ4=")</f>
        <v>#REF!</v>
      </c>
      <c r="P15" t="e">
        <f>AND(Database!#REF!,"AAAAAH+vfQ8=")</f>
        <v>#REF!</v>
      </c>
      <c r="Q15" t="e">
        <f>AND(Database!#REF!,"AAAAAH+vfRA=")</f>
        <v>#REF!</v>
      </c>
      <c r="R15" t="e">
        <f>AND(Database!#REF!,"AAAAAH+vfRE=")</f>
        <v>#REF!</v>
      </c>
      <c r="S15" t="e">
        <f>AND(Database!#REF!,"AAAAAH+vfRI=")</f>
        <v>#REF!</v>
      </c>
      <c r="T15" t="e">
        <f>AND(Database!#REF!,"AAAAAH+vfRM=")</f>
        <v>#REF!</v>
      </c>
      <c r="U15" t="e">
        <f>AND(Database!#REF!,"AAAAAH+vfRQ=")</f>
        <v>#REF!</v>
      </c>
      <c r="V15" t="e">
        <f>AND(Database!#REF!,"AAAAAH+vfRU=")</f>
        <v>#REF!</v>
      </c>
      <c r="W15" t="e">
        <f>AND(Database!#REF!,"AAAAAH+vfRY=")</f>
        <v>#REF!</v>
      </c>
      <c r="X15" t="e">
        <f>AND(Database!#REF!,"AAAAAH+vfRc=")</f>
        <v>#REF!</v>
      </c>
      <c r="Y15" t="e">
        <f>AND(Database!#REF!,"AAAAAH+vfRg=")</f>
        <v>#REF!</v>
      </c>
      <c r="Z15" t="e">
        <f>AND(Database!#REF!,"AAAAAH+vfRk=")</f>
        <v>#REF!</v>
      </c>
      <c r="AA15" t="e">
        <f>AND(Database!#REF!,"AAAAAH+vfRo=")</f>
        <v>#REF!</v>
      </c>
      <c r="AB15" t="e">
        <f>AND(Database!#REF!,"AAAAAH+vfRs=")</f>
        <v>#REF!</v>
      </c>
      <c r="AC15" t="e">
        <f>AND(Database!#REF!,"AAAAAH+vfRw=")</f>
        <v>#REF!</v>
      </c>
      <c r="AD15" t="e">
        <f>AND(Database!#REF!,"AAAAAH+vfR0=")</f>
        <v>#REF!</v>
      </c>
      <c r="AE15" t="e">
        <f>AND(Database!#REF!,"AAAAAH+vfR4=")</f>
        <v>#REF!</v>
      </c>
      <c r="AF15" t="e">
        <f>AND(Database!#REF!,"AAAAAH+vfR8=")</f>
        <v>#REF!</v>
      </c>
      <c r="AG15" t="e">
        <f>AND(Database!#REF!,"AAAAAH+vfSA=")</f>
        <v>#REF!</v>
      </c>
      <c r="AH15" t="e">
        <f>AND(Database!#REF!,"AAAAAH+vfSE=")</f>
        <v>#REF!</v>
      </c>
      <c r="AI15" t="e">
        <f>AND(Database!#REF!,"AAAAAH+vfSI=")</f>
        <v>#REF!</v>
      </c>
      <c r="AJ15" t="e">
        <f>AND(Database!#REF!,"AAAAAH+vfSM=")</f>
        <v>#REF!</v>
      </c>
      <c r="AK15" t="e">
        <f>AND(Database!#REF!,"AAAAAH+vfSQ=")</f>
        <v>#REF!</v>
      </c>
      <c r="AL15" t="e">
        <f>AND(Database!#REF!,"AAAAAH+vfSU=")</f>
        <v>#REF!</v>
      </c>
      <c r="AM15" t="e">
        <f>AND(Database!#REF!,"AAAAAH+vfSY=")</f>
        <v>#REF!</v>
      </c>
      <c r="AN15" t="e">
        <f>AND(Database!#REF!,"AAAAAH+vfSc=")</f>
        <v>#REF!</v>
      </c>
      <c r="AO15" t="e">
        <f>AND(Database!#REF!,"AAAAAH+vfSg=")</f>
        <v>#REF!</v>
      </c>
      <c r="AP15" t="e">
        <f>AND(Database!#REF!,"AAAAAH+vfSk=")</f>
        <v>#REF!</v>
      </c>
      <c r="AQ15" t="e">
        <f>AND(Database!#REF!,"AAAAAH+vfSo=")</f>
        <v>#REF!</v>
      </c>
      <c r="AR15" t="e">
        <f>AND(Database!#REF!,"AAAAAH+vfSs=")</f>
        <v>#REF!</v>
      </c>
      <c r="AS15" t="e">
        <f>AND(Database!#REF!,"AAAAAH+vfSw=")</f>
        <v>#REF!</v>
      </c>
      <c r="AT15" t="e">
        <f>AND(Database!#REF!,"AAAAAH+vfS0=")</f>
        <v>#REF!</v>
      </c>
      <c r="AU15" t="e">
        <f>AND(Database!#REF!,"AAAAAH+vfS4=")</f>
        <v>#REF!</v>
      </c>
      <c r="AV15" t="e">
        <f>AND(Database!#REF!,"AAAAAH+vfS8=")</f>
        <v>#REF!</v>
      </c>
      <c r="AW15" t="e">
        <f>AND(Database!#REF!,"AAAAAH+vfTA=")</f>
        <v>#REF!</v>
      </c>
      <c r="AX15" t="e">
        <f>AND(Database!#REF!,"AAAAAH+vfTE=")</f>
        <v>#REF!</v>
      </c>
      <c r="AY15" t="e">
        <f>IF(Database!#REF!,"AAAAAH+vfTI=",0)</f>
        <v>#REF!</v>
      </c>
      <c r="AZ15" t="e">
        <f>IF(Database!#REF!,"AAAAAH+vfTM=",0)</f>
        <v>#REF!</v>
      </c>
      <c r="BA15" t="e">
        <f>IF("N",AttackType,"AAAAAH+vfTQ=")</f>
        <v>#VALUE!</v>
      </c>
    </row>
    <row r="16" spans="1:256" x14ac:dyDescent="0.3">
      <c r="A16" t="e">
        <f>AND(#REF!,"AAAAAHPdZwA=")</f>
        <v>#REF!</v>
      </c>
      <c r="B16" t="e">
        <f>AND(#REF!,"AAAAAHPdZwE=")</f>
        <v>#REF!</v>
      </c>
      <c r="C16" t="e">
        <f>AND(#REF!,"AAAAAHPdZwI=")</f>
        <v>#REF!</v>
      </c>
      <c r="D16" t="e">
        <f>AND(#REF!,"AAAAAHPdZwM=")</f>
        <v>#REF!</v>
      </c>
      <c r="E16" t="e">
        <f>AND(#REF!,"AAAAAHPdZwQ=")</f>
        <v>#REF!</v>
      </c>
      <c r="F16" t="e">
        <f>AND(#REF!,"AAAAAHPdZwU=")</f>
        <v>#REF!</v>
      </c>
      <c r="G16" t="e">
        <f>AND(#REF!,"AAAAAHPdZwY=")</f>
        <v>#REF!</v>
      </c>
      <c r="H16" t="e">
        <f>AND(#REF!,"AAAAAHPdZwc=")</f>
        <v>#REF!</v>
      </c>
      <c r="I16" t="e">
        <f>AND(#REF!,"AAAAAHPdZwg=")</f>
        <v>#REF!</v>
      </c>
      <c r="J16" t="e">
        <f>AND(#REF!,"AAAAAHPdZwk=")</f>
        <v>#REF!</v>
      </c>
      <c r="K16" t="e">
        <f>AND(#REF!,"AAAAAHPdZwo=")</f>
        <v>#REF!</v>
      </c>
      <c r="L16" t="e">
        <f>AND(#REF!,"AAAAAHPdZws=")</f>
        <v>#REF!</v>
      </c>
      <c r="M16" t="e">
        <f>AND(#REF!,"AAAAAHPdZww=")</f>
        <v>#REF!</v>
      </c>
      <c r="N16" t="e">
        <f>AND(#REF!,"AAAAAHPdZw0=")</f>
        <v>#REF!</v>
      </c>
      <c r="O16" t="e">
        <f>AND(#REF!,"AAAAAHPdZw4=")</f>
        <v>#REF!</v>
      </c>
      <c r="P16" t="e">
        <f>AND(#REF!,"AAAAAHPdZw8=")</f>
        <v>#REF!</v>
      </c>
      <c r="Q16" t="e">
        <f>AND(#REF!,"AAAAAHPdZxA=")</f>
        <v>#REF!</v>
      </c>
      <c r="R16" t="e">
        <f>AND(#REF!,"AAAAAHPdZxE=")</f>
        <v>#REF!</v>
      </c>
      <c r="S16" t="e">
        <f>AND(#REF!,"AAAAAHPdZxI=")</f>
        <v>#REF!</v>
      </c>
      <c r="T16" t="e">
        <f>AND(#REF!,"AAAAAHPdZxM=")</f>
        <v>#REF!</v>
      </c>
      <c r="U16" t="e">
        <f>AND(#REF!,"AAAAAHPdZxQ=")</f>
        <v>#REF!</v>
      </c>
      <c r="V16" t="e">
        <f>AND(#REF!,"AAAAAHPdZxU=")</f>
        <v>#REF!</v>
      </c>
      <c r="W16" t="e">
        <f>AND(#REF!,"AAAAAHPdZxY=")</f>
        <v>#REF!</v>
      </c>
      <c r="X16" t="e">
        <f>AND(#REF!,"AAAAAHPdZxc=")</f>
        <v>#REF!</v>
      </c>
      <c r="Y16" t="e">
        <f>AND(#REF!,"AAAAAHPdZxg=")</f>
        <v>#REF!</v>
      </c>
      <c r="Z16" t="e">
        <f>AND(#REF!,"AAAAAHPdZxk=")</f>
        <v>#REF!</v>
      </c>
      <c r="AA16" t="e">
        <f>IF(#REF!,"AAAAAHPdZxo=",0)</f>
        <v>#REF!</v>
      </c>
      <c r="AB16" t="e">
        <f>IF(#REF!,"AAAAAHPdZxs=",0)</f>
        <v>#REF!</v>
      </c>
    </row>
    <row r="17" spans="1:79" x14ac:dyDescent="0.3">
      <c r="A17" t="e">
        <f>AND(Export!#REF!,"AAAAAFn/2wA=")</f>
        <v>#REF!</v>
      </c>
      <c r="B17" t="e">
        <f>AND(Export!#REF!,"AAAAAFn/2wE=")</f>
        <v>#REF!</v>
      </c>
      <c r="C17" t="e">
        <f>AND(Export!#REF!,"AAAAAFn/2wI=")</f>
        <v>#REF!</v>
      </c>
      <c r="D17" t="e">
        <f>AND(Export!#REF!,"AAAAAFn/2wM=")</f>
        <v>#REF!</v>
      </c>
      <c r="E17" t="e">
        <f>AND(Export!#REF!,"AAAAAFn/2wQ=")</f>
        <v>#REF!</v>
      </c>
      <c r="F17" t="e">
        <f>AND(Export!#REF!,"AAAAAFn/2wU=")</f>
        <v>#REF!</v>
      </c>
      <c r="G17" t="e">
        <f>AND(Export!#REF!,"AAAAAFn/2wY=")</f>
        <v>#REF!</v>
      </c>
      <c r="H17" t="e">
        <f>AND(Export!#REF!,"AAAAAFn/2wc=")</f>
        <v>#REF!</v>
      </c>
      <c r="I17" t="e">
        <f>AND(Export!#REF!,"AAAAAFn/2wg=")</f>
        <v>#REF!</v>
      </c>
      <c r="J17" t="e">
        <f>AND(Export!#REF!,"AAAAAFn/2wk=")</f>
        <v>#REF!</v>
      </c>
      <c r="K17" t="e">
        <f>AND(Export!#REF!,"AAAAAFn/2wo=")</f>
        <v>#REF!</v>
      </c>
      <c r="L17" t="e">
        <f>AND(Export!#REF!,"AAAAAFn/2ws=")</f>
        <v>#REF!</v>
      </c>
      <c r="M17" t="e">
        <f>AND(Export!#REF!,"AAAAAFn/2ww=")</f>
        <v>#REF!</v>
      </c>
      <c r="N17" t="e">
        <f>AND(Export!#REF!,"AAAAAFn/2w0=")</f>
        <v>#REF!</v>
      </c>
      <c r="O17" t="e">
        <f>AND(Export!#REF!,"AAAAAFn/2w4=")</f>
        <v>#REF!</v>
      </c>
      <c r="P17" t="e">
        <f>AND(Export!#REF!,"AAAAAFn/2w8=")</f>
        <v>#REF!</v>
      </c>
      <c r="Q17" t="e">
        <f>AND(Export!#REF!,"AAAAAFn/2xA=")</f>
        <v>#REF!</v>
      </c>
      <c r="R17" t="e">
        <f>AND(Export!#REF!,"AAAAAFn/2xE=")</f>
        <v>#REF!</v>
      </c>
      <c r="S17" t="e">
        <f>AND(Export!#REF!,"AAAAAFn/2xI=")</f>
        <v>#REF!</v>
      </c>
      <c r="T17" t="e">
        <f>AND(Export!#REF!,"AAAAAFn/2xM=")</f>
        <v>#REF!</v>
      </c>
      <c r="U17" t="e">
        <f>AND(Export!#REF!,"AAAAAFn/2xQ=")</f>
        <v>#REF!</v>
      </c>
      <c r="V17" t="e">
        <f>AND(Export!#REF!,"AAAAAFn/2xU=")</f>
        <v>#REF!</v>
      </c>
      <c r="W17" t="e">
        <f>AND(Export!#REF!,"AAAAAFn/2xY=")</f>
        <v>#REF!</v>
      </c>
      <c r="X17" t="e">
        <f>AND(Export!#REF!,"AAAAAFn/2xc=")</f>
        <v>#REF!</v>
      </c>
      <c r="Y17" t="e">
        <f>AND(Export!#REF!,"AAAAAFn/2xg=")</f>
        <v>#REF!</v>
      </c>
      <c r="Z17" t="e">
        <f>AND(Export!#REF!,"AAAAAFn/2xk=")</f>
        <v>#REF!</v>
      </c>
      <c r="AA17" t="e">
        <f>AND(Export!#REF!,"AAAAAFn/2xo=")</f>
        <v>#REF!</v>
      </c>
      <c r="AB17" t="e">
        <f>AND(Export!#REF!,"AAAAAFn/2xs=")</f>
        <v>#REF!</v>
      </c>
      <c r="AC17" t="e">
        <f>AND(Export!#REF!,"AAAAAFn/2xw=")</f>
        <v>#REF!</v>
      </c>
      <c r="AD17" t="e">
        <f>AND(Export!#REF!,"AAAAAFn/2x0=")</f>
        <v>#REF!</v>
      </c>
      <c r="AE17" t="e">
        <f>AND(Export!#REF!,"AAAAAFn/2x4=")</f>
        <v>#REF!</v>
      </c>
      <c r="AF17" t="e">
        <f>AND(Export!#REF!,"AAAAAFn/2x8=")</f>
        <v>#REF!</v>
      </c>
      <c r="AG17" t="e">
        <f>AND(Export!#REF!,"AAAAAFn/2yA=")</f>
        <v>#REF!</v>
      </c>
      <c r="AH17" t="e">
        <f>AND(Export!#REF!,"AAAAAFn/2yE=")</f>
        <v>#REF!</v>
      </c>
      <c r="AI17" t="e">
        <f>AND(Export!#REF!,"AAAAAFn/2yI=")</f>
        <v>#REF!</v>
      </c>
      <c r="AJ17" t="e">
        <f>AND(Export!#REF!,"AAAAAFn/2yM=")</f>
        <v>#REF!</v>
      </c>
      <c r="AK17" t="e">
        <f>AND(Export!#REF!,"AAAAAFn/2yQ=")</f>
        <v>#REF!</v>
      </c>
      <c r="AL17" t="e">
        <f>AND(Export!#REF!,"AAAAAFn/2yU=")</f>
        <v>#REF!</v>
      </c>
      <c r="AM17" t="e">
        <f>AND(Export!#REF!,"AAAAAFn/2yY=")</f>
        <v>#REF!</v>
      </c>
      <c r="AN17" t="e">
        <f>AND(Export!#REF!,"AAAAAFn/2yc=")</f>
        <v>#REF!</v>
      </c>
      <c r="AO17" t="e">
        <f>AND(Export!#REF!,"AAAAAFn/2yg=")</f>
        <v>#REF!</v>
      </c>
      <c r="AP17" t="e">
        <f>AND(Export!#REF!,"AAAAAFn/2yk=")</f>
        <v>#REF!</v>
      </c>
      <c r="AQ17" t="e">
        <f>AND(Export!#REF!,"AAAAAFn/2yo=")</f>
        <v>#REF!</v>
      </c>
      <c r="AR17" t="e">
        <f>AND(Export!#REF!,"AAAAAFn/2ys=")</f>
        <v>#REF!</v>
      </c>
      <c r="AS17" t="e">
        <f>AND(Export!#REF!,"AAAAAFn/2yw=")</f>
        <v>#REF!</v>
      </c>
      <c r="AT17" t="e">
        <f>AND(Export!#REF!,"AAAAAFn/2y0=")</f>
        <v>#REF!</v>
      </c>
      <c r="AU17" t="e">
        <f>AND(Export!#REF!,"AAAAAFn/2y4=")</f>
        <v>#REF!</v>
      </c>
      <c r="AV17" t="e">
        <f>AND(Export!#REF!,"AAAAAFn/2y8=")</f>
        <v>#REF!</v>
      </c>
      <c r="AW17" t="e">
        <f>AND(Export!#REF!,"AAAAAFn/2zA=")</f>
        <v>#REF!</v>
      </c>
      <c r="AX17" t="e">
        <f>AND(Export!#REF!,"AAAAAFn/2zE=")</f>
        <v>#REF!</v>
      </c>
      <c r="AY17" t="e">
        <f>AND(Export!#REF!,"AAAAAFn/2zI=")</f>
        <v>#REF!</v>
      </c>
      <c r="AZ17" t="e">
        <f>AND(Export!#REF!,"AAAAAFn/2zM=")</f>
        <v>#REF!</v>
      </c>
      <c r="BA17" t="e">
        <f>AND(Export!#REF!,"AAAAAFn/2zQ=")</f>
        <v>#REF!</v>
      </c>
      <c r="BB17" t="e">
        <f>AND(Export!#REF!,"AAAAAFn/2zU=")</f>
        <v>#REF!</v>
      </c>
      <c r="BC17" t="e">
        <f>AND(Export!#REF!,"AAAAAFn/2zY=")</f>
        <v>#REF!</v>
      </c>
      <c r="BD17" t="e">
        <f>AND(Export!#REF!,"AAAAAFn/2zc=")</f>
        <v>#REF!</v>
      </c>
      <c r="BE17" t="e">
        <f>AND(Export!#REF!,"AAAAAFn/2zg=")</f>
        <v>#REF!</v>
      </c>
      <c r="BF17" t="e">
        <f>AND(Export!#REF!,"AAAAAFn/2zk=")</f>
        <v>#REF!</v>
      </c>
      <c r="BG17" t="e">
        <f>AND(Export!#REF!,"AAAAAFn/2zo=")</f>
        <v>#REF!</v>
      </c>
      <c r="BH17" t="e">
        <f>AND(Export!#REF!,"AAAAAFn/2zs=")</f>
        <v>#REF!</v>
      </c>
      <c r="BI17" t="e">
        <f>AND(Export!#REF!,"AAAAAFn/2zw=")</f>
        <v>#REF!</v>
      </c>
      <c r="BJ17" t="e">
        <f>AND(Export!#REF!,"AAAAAFn/2z0=")</f>
        <v>#REF!</v>
      </c>
      <c r="BK17" t="e">
        <f>AND(Export!#REF!,"AAAAAFn/2z4=")</f>
        <v>#REF!</v>
      </c>
      <c r="BL17" t="e">
        <f>AND(Export!#REF!,"AAAAAFn/2z8=")</f>
        <v>#REF!</v>
      </c>
      <c r="BM17" t="e">
        <f>AND(Export!#REF!,"AAAAAFn/20A=")</f>
        <v>#REF!</v>
      </c>
      <c r="BN17" t="e">
        <f>AND(Export!#REF!,"AAAAAFn/20E=")</f>
        <v>#REF!</v>
      </c>
      <c r="BO17" t="e">
        <f>AND(Export!#REF!,"AAAAAFn/20I=")</f>
        <v>#REF!</v>
      </c>
      <c r="BP17" t="e">
        <f>AND(Export!#REF!,"AAAAAFn/20M=")</f>
        <v>#REF!</v>
      </c>
      <c r="BQ17" t="e">
        <f>AND(Export!#REF!,"AAAAAFn/20Q=")</f>
        <v>#REF!</v>
      </c>
      <c r="BR17" t="e">
        <f>AND(Export!#REF!,"AAAAAFn/20U=")</f>
        <v>#REF!</v>
      </c>
    </row>
    <row r="18" spans="1:79" x14ac:dyDescent="0.3">
      <c r="A18" t="e">
        <f>AND(Database!#REF!,"AAAAAGP//QA=")</f>
        <v>#REF!</v>
      </c>
      <c r="B18" t="e">
        <f>AND(Database!#REF!,"AAAAAGP//QE=")</f>
        <v>#REF!</v>
      </c>
      <c r="C18" t="e">
        <f>AND(Database!#REF!,"AAAAAGP//QI=")</f>
        <v>#REF!</v>
      </c>
      <c r="D18" t="e">
        <f>AND(Database!#REF!,"AAAAAGP//QM=")</f>
        <v>#REF!</v>
      </c>
      <c r="E18" t="e">
        <f>AND(Database!#REF!,"AAAAAGP//QQ=")</f>
        <v>#REF!</v>
      </c>
      <c r="F18" t="e">
        <f>AND(Database!#REF!,"AAAAAGP//QU=")</f>
        <v>#REF!</v>
      </c>
      <c r="G18" t="e">
        <f>AND(Database!#REF!,"AAAAAGP//QY=")</f>
        <v>#REF!</v>
      </c>
      <c r="H18" t="e">
        <f>AND(Database!#REF!,"AAAAAGP//Qc=")</f>
        <v>#REF!</v>
      </c>
      <c r="I18" t="e">
        <f>AND(Database!#REF!,"AAAAAGP//Qg=")</f>
        <v>#REF!</v>
      </c>
      <c r="J18" t="e">
        <f>AND(Database!#REF!,"AAAAAGP//Qk=")</f>
        <v>#REF!</v>
      </c>
      <c r="K18" t="e">
        <f>AND(Database!#REF!,"AAAAAGP//Qo=")</f>
        <v>#REF!</v>
      </c>
      <c r="L18" t="e">
        <f>AND(Database!#REF!,"AAAAAGP//Qs=")</f>
        <v>#REF!</v>
      </c>
      <c r="M18" t="e">
        <f>AND(Database!#REF!,"AAAAAGP//Qw=")</f>
        <v>#REF!</v>
      </c>
      <c r="N18" t="e">
        <f>AND(Database!#REF!,"AAAAAGP//Q0=")</f>
        <v>#REF!</v>
      </c>
      <c r="O18" t="e">
        <f>AND(Database!#REF!,"AAAAAGP//Q4=")</f>
        <v>#REF!</v>
      </c>
      <c r="P18" t="e">
        <f>AND(Database!#REF!,"AAAAAGP//Q8=")</f>
        <v>#REF!</v>
      </c>
      <c r="Q18" t="e">
        <f>AND(Database!#REF!,"AAAAAGP//RA=")</f>
        <v>#REF!</v>
      </c>
      <c r="R18" t="e">
        <f>AND(Database!#REF!,"AAAAAGP//RE=")</f>
        <v>#REF!</v>
      </c>
      <c r="S18" t="e">
        <f>AND(Database!#REF!,"AAAAAGP//RI=")</f>
        <v>#REF!</v>
      </c>
      <c r="T18" t="e">
        <f>AND(Database!#REF!,"AAAAAGP//RM=")</f>
        <v>#REF!</v>
      </c>
      <c r="U18" t="e">
        <f>AND(Database!#REF!,"AAAAAGP//RQ=")</f>
        <v>#REF!</v>
      </c>
      <c r="V18" t="e">
        <f>AND(Database!#REF!,"AAAAAGP//RU=")</f>
        <v>#REF!</v>
      </c>
      <c r="W18" t="e">
        <f>AND(Database!#REF!,"AAAAAGP//RY=")</f>
        <v>#REF!</v>
      </c>
      <c r="X18" t="e">
        <f>AND(Database!#REF!,"AAAAAGP//Rc=")</f>
        <v>#REF!</v>
      </c>
      <c r="Y18" t="e">
        <f>AND(Database!#REF!,"AAAAAGP//Rg=")</f>
        <v>#REF!</v>
      </c>
      <c r="Z18" t="e">
        <f>AND(Database!#REF!,"AAAAAGP//Rk=")</f>
        <v>#REF!</v>
      </c>
      <c r="AA18" t="e">
        <f>AND(Database!#REF!,"AAAAAGP//Ro=")</f>
        <v>#REF!</v>
      </c>
      <c r="AB18" t="e">
        <f>AND(Database!#REF!,"AAAAAGP//Rs=")</f>
        <v>#REF!</v>
      </c>
      <c r="AC18" t="e">
        <f>AND(Database!#REF!,"AAAAAGP//Rw=")</f>
        <v>#REF!</v>
      </c>
      <c r="AD18" t="e">
        <f>AND(Database!#REF!,"AAAAAGP//R0=")</f>
        <v>#REF!</v>
      </c>
      <c r="AE18" t="e">
        <f>AND(Database!#REF!,"AAAAAGP//R4=")</f>
        <v>#REF!</v>
      </c>
      <c r="AF18" t="e">
        <f>AND(Database!#REF!,"AAAAAGP//R8=")</f>
        <v>#REF!</v>
      </c>
      <c r="AG18" t="e">
        <f>AND(Database!#REF!,"AAAAAGP//SA=")</f>
        <v>#REF!</v>
      </c>
      <c r="AH18" t="e">
        <f>AND(Database!#REF!,"AAAAAGP//SE=")</f>
        <v>#REF!</v>
      </c>
      <c r="AI18" t="e">
        <f>AND(Database!#REF!,"AAAAAGP//SI=")</f>
        <v>#REF!</v>
      </c>
      <c r="AJ18" t="e">
        <f>AND(Database!#REF!,"AAAAAGP//SM=")</f>
        <v>#REF!</v>
      </c>
      <c r="AK18" t="e">
        <f>AND(Database!#REF!,"AAAAAGP//SQ=")</f>
        <v>#REF!</v>
      </c>
      <c r="AL18" t="e">
        <f>AND(Database!#REF!,"AAAAAGP//SU=")</f>
        <v>#REF!</v>
      </c>
      <c r="AM18" t="e">
        <f>AND(Database!#REF!,"AAAAAGP//SY=")</f>
        <v>#REF!</v>
      </c>
      <c r="AN18" t="e">
        <f>AND(Database!#REF!,"AAAAAGP//Sc=")</f>
        <v>#REF!</v>
      </c>
      <c r="AO18" t="e">
        <f>AND(Database!#REF!,"AAAAAGP//Sg=")</f>
        <v>#REF!</v>
      </c>
      <c r="AP18" t="e">
        <f>AND(Database!#REF!,"AAAAAGP//Sk=")</f>
        <v>#REF!</v>
      </c>
      <c r="AQ18" t="e">
        <f>AND(Database!#REF!,"AAAAAGP//So=")</f>
        <v>#REF!</v>
      </c>
      <c r="AR18" t="e">
        <f>AND(Database!#REF!,"AAAAAGP//Ss=")</f>
        <v>#REF!</v>
      </c>
      <c r="AS18" t="e">
        <f>AND(Database!#REF!,"AAAAAGP//Sw=")</f>
        <v>#REF!</v>
      </c>
      <c r="AT18" t="e">
        <f>AND(Database!#REF!,"AAAAAGP//S0=")</f>
        <v>#REF!</v>
      </c>
      <c r="AU18" t="e">
        <f>AND(Database!#REF!,"AAAAAGP//S4=")</f>
        <v>#REF!</v>
      </c>
      <c r="AV18" t="e">
        <f>AND(Database!#REF!,"AAAAAGP//S8=")</f>
        <v>#REF!</v>
      </c>
      <c r="AW18" t="e">
        <f>AND(Database!#REF!,"AAAAAGP//TA=")</f>
        <v>#REF!</v>
      </c>
      <c r="AX18" t="e">
        <f>AND(Database!#REF!,"AAAAAGP//TE=")</f>
        <v>#REF!</v>
      </c>
      <c r="AY18" t="e">
        <f>AND(Database!#REF!,"AAAAAGP//TI=")</f>
        <v>#REF!</v>
      </c>
      <c r="AZ18" t="e">
        <f>AND(Database!#REF!,"AAAAAGP//TM=")</f>
        <v>#REF!</v>
      </c>
      <c r="BA18" t="e">
        <f>AND(Database!#REF!,"AAAAAGP//TQ=")</f>
        <v>#REF!</v>
      </c>
      <c r="BB18" t="e">
        <f>AND(Database!#REF!,"AAAAAGP//TU=")</f>
        <v>#REF!</v>
      </c>
      <c r="BC18" t="e">
        <f>AND(Database!#REF!,"AAAAAGP//TY=")</f>
        <v>#REF!</v>
      </c>
      <c r="BD18" t="e">
        <f>AND(Database!#REF!,"AAAAAGP//Tc=")</f>
        <v>#REF!</v>
      </c>
      <c r="BE18" t="e">
        <f>AND(Database!#REF!,"AAAAAGP//Tg=")</f>
        <v>#REF!</v>
      </c>
      <c r="BF18" t="e">
        <f>AND(Database!#REF!,"AAAAAGP//Tk=")</f>
        <v>#REF!</v>
      </c>
      <c r="BG18" t="e">
        <f>AND(Database!#REF!,"AAAAAGP//To=")</f>
        <v>#REF!</v>
      </c>
      <c r="BH18" t="e">
        <f>AND(Database!#REF!,"AAAAAGP//Ts=")</f>
        <v>#REF!</v>
      </c>
      <c r="BI18" t="e">
        <f>AND(Database!#REF!,"AAAAAGP//Tw=")</f>
        <v>#REF!</v>
      </c>
      <c r="BJ18" t="e">
        <f>AND(Database!#REF!,"AAAAAGP//T0=")</f>
        <v>#REF!</v>
      </c>
      <c r="BK18" t="e">
        <f>AND(Database!#REF!,"AAAAAGP//T4=")</f>
        <v>#REF!</v>
      </c>
      <c r="BL18" t="e">
        <f>AND(Database!#REF!,"AAAAAGP//T8=")</f>
        <v>#REF!</v>
      </c>
      <c r="BM18" t="e">
        <f>AND(Database!#REF!,"AAAAAGP//UA=")</f>
        <v>#REF!</v>
      </c>
      <c r="BN18" t="e">
        <f>AND(Database!#REF!,"AAAAAGP//UE=")</f>
        <v>#REF!</v>
      </c>
      <c r="BO18" t="e">
        <f>IF(Database!#REF!,"AAAAAGP//UI=",0)</f>
        <v>#REF!</v>
      </c>
      <c r="BP18" t="e">
        <f>IF(Database!#REF!,"AAAAAGP//UM=",0)</f>
        <v>#REF!</v>
      </c>
      <c r="BQ18" t="e">
        <f>IF(Database!#REF!,"AAAAAGP//UQ=",0)</f>
        <v>#REF!</v>
      </c>
      <c r="BR18" t="e">
        <f>AND(Export!#REF!,"AAAAAGP//UU=")</f>
        <v>#REF!</v>
      </c>
      <c r="BS18" t="e">
        <f>AND(Export!#REF!,"AAAAAGP//UY=")</f>
        <v>#REF!</v>
      </c>
      <c r="BT18" t="e">
        <f>AND(Export!#REF!,"AAAAAGP//Uc=")</f>
        <v>#REF!</v>
      </c>
      <c r="BU18" t="e">
        <f>AND(Export!#REF!,"AAAAAGP//Ug=")</f>
        <v>#REF!</v>
      </c>
      <c r="BV18" t="e">
        <f>AND(Export!#REF!,"AAAAAGP//Uk=")</f>
        <v>#REF!</v>
      </c>
      <c r="BW18" t="e">
        <f>AND(Export!#REF!,"AAAAAGP//Uo=")</f>
        <v>#REF!</v>
      </c>
      <c r="BX18" t="e">
        <f>AND(Export!#REF!,"AAAAAGP//Us=")</f>
        <v>#REF!</v>
      </c>
      <c r="BY18" t="e">
        <f>AND(Export!#REF!,"AAAAAGP//Uw=")</f>
        <v>#REF!</v>
      </c>
      <c r="BZ18" t="e">
        <f>AND(Export!#REF!,"AAAAAGP//U0=")</f>
        <v>#REF!</v>
      </c>
      <c r="CA18" t="e">
        <f>AND(Export!#REF!,"AAAAAGP//U4=")</f>
        <v>#REF!</v>
      </c>
    </row>
    <row r="19" spans="1:79" x14ac:dyDescent="0.3">
      <c r="A19" t="e">
        <f>AND(Database!#REF!,"AAAAAGn++wA=")</f>
        <v>#REF!</v>
      </c>
      <c r="B19" t="e">
        <f>AND(Database!#REF!,"AAAAAGn++wE=")</f>
        <v>#REF!</v>
      </c>
      <c r="C19" t="e">
        <f>AND(Database!#REF!,"AAAAAGn++wI=")</f>
        <v>#REF!</v>
      </c>
      <c r="D19" t="e">
        <f>AND(Database!#REF!,"AAAAAGn++wM=")</f>
        <v>#REF!</v>
      </c>
      <c r="E19" t="e">
        <f>AND(Database!#REF!,"AAAAAGn++wQ=")</f>
        <v>#REF!</v>
      </c>
      <c r="F19" t="e">
        <f>AND(Database!#REF!,"AAAAAGn++wU=")</f>
        <v>#REF!</v>
      </c>
      <c r="G19" t="e">
        <f>AND(Database!#REF!,"AAAAAGn++wY=")</f>
        <v>#REF!</v>
      </c>
      <c r="H19" t="e">
        <f>AND(Database!#REF!,"AAAAAGn++wc=")</f>
        <v>#REF!</v>
      </c>
      <c r="I19" t="e">
        <f>AND(Database!#REF!,"AAAAAGn++wg=")</f>
        <v>#REF!</v>
      </c>
      <c r="J19" t="e">
        <f>AND(Database!#REF!,"AAAAAGn++wk=")</f>
        <v>#REF!</v>
      </c>
      <c r="K19" t="e">
        <f>AND(Database!#REF!,"AAAAAGn++wo=")</f>
        <v>#REF!</v>
      </c>
      <c r="L19" t="e">
        <f>AND(Database!#REF!,"AAAAAGn++ws=")</f>
        <v>#REF!</v>
      </c>
      <c r="M19" t="e">
        <f>AND(Database!#REF!,"AAAAAGn++ww=")</f>
        <v>#REF!</v>
      </c>
      <c r="N19" t="e">
        <f>AND(Database!#REF!,"AAAAAGn++w0=")</f>
        <v>#REF!</v>
      </c>
      <c r="O19" t="e">
        <f>AND(Database!#REF!,"AAAAAGn++w4=")</f>
        <v>#REF!</v>
      </c>
      <c r="P19" t="e">
        <f>AND(Database!#REF!,"AAAAAGn++w8=")</f>
        <v>#REF!</v>
      </c>
      <c r="Q19" t="e">
        <f>AND(Database!#REF!,"AAAAAGn++xA=")</f>
        <v>#REF!</v>
      </c>
      <c r="R19" t="e">
        <f>AND(Database!#REF!,"AAAAAGn++xE=")</f>
        <v>#REF!</v>
      </c>
      <c r="S19" t="e">
        <f>AND(Database!#REF!,"AAAAAGn++xI=")</f>
        <v>#REF!</v>
      </c>
      <c r="T19" t="e">
        <f>AND(Database!#REF!,"AAAAAGn++xM=")</f>
        <v>#REF!</v>
      </c>
      <c r="U19" t="e">
        <f>AND(Database!#REF!,"AAAAAGn++xQ=")</f>
        <v>#REF!</v>
      </c>
      <c r="V19" t="e">
        <f>AND(Database!#REF!,"AAAAAGn++xU=")</f>
        <v>#REF!</v>
      </c>
      <c r="W19" t="e">
        <f>AND(Database!#REF!,"AAAAAGn++xY=")</f>
        <v>#REF!</v>
      </c>
      <c r="X19" t="e">
        <f>AND(Database!#REF!,"AAAAAGn++xc=")</f>
        <v>#REF!</v>
      </c>
      <c r="Y19" t="e">
        <f>AND(Database!#REF!,"AAAAAGn++xg=")</f>
        <v>#REF!</v>
      </c>
      <c r="Z19" t="e">
        <f>AND(Database!#REF!,"AAAAAGn++xk=")</f>
        <v>#REF!</v>
      </c>
      <c r="AA19" t="e">
        <f>AND(Database!#REF!,"AAAAAGn++xo=")</f>
        <v>#REF!</v>
      </c>
      <c r="AB19" t="e">
        <f>AND(Database!#REF!,"AAAAAGn++xs=")</f>
        <v>#REF!</v>
      </c>
      <c r="AC19" t="e">
        <f>AND(Database!#REF!,"AAAAAGn++xw=")</f>
        <v>#REF!</v>
      </c>
      <c r="AD19" t="e">
        <f>AND(Database!#REF!,"AAAAAGn++x0=")</f>
        <v>#REF!</v>
      </c>
      <c r="AE19" t="e">
        <f>AND(Database!#REF!,"AAAAAGn++x4=")</f>
        <v>#REF!</v>
      </c>
      <c r="AF19" t="e">
        <f>AND(Database!#REF!,"AAAAAGn++x8=")</f>
        <v>#REF!</v>
      </c>
      <c r="AG19" t="e">
        <f>AND(Database!#REF!,"AAAAAGn++yA=")</f>
        <v>#REF!</v>
      </c>
      <c r="AH19" t="e">
        <f>AND(Database!#REF!,"AAAAAGn++yE=")</f>
        <v>#REF!</v>
      </c>
      <c r="AI19" t="e">
        <f>AND(Database!#REF!,"AAAAAGn++yI=")</f>
        <v>#REF!</v>
      </c>
      <c r="AJ19" t="e">
        <f>AND(Database!#REF!,"AAAAAGn++yM=")</f>
        <v>#REF!</v>
      </c>
      <c r="AK19" t="e">
        <f>AND(Database!#REF!,"AAAAAGn++yQ=")</f>
        <v>#REF!</v>
      </c>
      <c r="AL19" t="e">
        <f>AND(Database!#REF!,"AAAAAGn++yU=")</f>
        <v>#REF!</v>
      </c>
      <c r="AM19" t="e">
        <f>AND(Database!#REF!,"AAAAAGn++yY=")</f>
        <v>#REF!</v>
      </c>
      <c r="AN19" t="e">
        <f>AND(Database!#REF!,"AAAAAGn++yc=")</f>
        <v>#REF!</v>
      </c>
      <c r="AO19" t="e">
        <f>AND(Database!#REF!,"AAAAAGn++yg=")</f>
        <v>#REF!</v>
      </c>
      <c r="AP19" t="e">
        <f>AND(Database!#REF!,"AAAAAGn++yk=")</f>
        <v>#REF!</v>
      </c>
      <c r="AQ19" t="e">
        <f>AND(Database!#REF!,"AAAAAGn++yo=")</f>
        <v>#REF!</v>
      </c>
      <c r="AR19" t="e">
        <f>AND(Database!#REF!,"AAAAAGn++ys=")</f>
        <v>#REF!</v>
      </c>
      <c r="AS19" t="e">
        <f>IF(Database!#REF!,"AAAAAGn++yw=",0)</f>
        <v>#REF!</v>
      </c>
      <c r="AT19" t="e">
        <f>IF(Database!#REF!,"AAAAAGn++y0=",0)</f>
        <v>#REF!</v>
      </c>
    </row>
  </sheetData>
  <phoneticPr fontId="36" type="noConversion"/>
  <pageMargins left="0.7" right="0.7" top="0.75" bottom="0.75" header="0.3" footer="0.3"/>
  <pageSetup paperSize="9" orientation="portrait" r:id="rId1"/>
  <customProperties>
    <customPr name="DVSECTION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7</vt:i4>
      </vt:variant>
    </vt:vector>
  </HeadingPairs>
  <TitlesOfParts>
    <vt:vector size="12" baseType="lpstr">
      <vt:lpstr>Database</vt:lpstr>
      <vt:lpstr>Enum</vt:lpstr>
      <vt:lpstr>Export</vt:lpstr>
      <vt:lpstr>Desr</vt:lpstr>
      <vt:lpstr>정확도</vt:lpstr>
      <vt:lpstr>GunType.Eng</vt:lpstr>
      <vt:lpstr>GunType.Kor</vt:lpstr>
      <vt:lpstr>RefAngle</vt:lpstr>
      <vt:lpstr>SniperRefAngle</vt:lpstr>
      <vt:lpstr>WeaponSlotType.Kor</vt:lpstr>
      <vt:lpstr>WeaponTacticalType.Kor</vt:lpstr>
      <vt:lpstr>WeaponType.Kor</vt:lpstr>
    </vt:vector>
  </TitlesOfParts>
  <Company>APPOLO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ukyang</dc:creator>
  <cp:lastModifiedBy>Admin</cp:lastModifiedBy>
  <cp:lastPrinted>2009-07-17T03:05:41Z</cp:lastPrinted>
  <dcterms:created xsi:type="dcterms:W3CDTF">2008-11-05T02:24:16Z</dcterms:created>
  <dcterms:modified xsi:type="dcterms:W3CDTF">2025-10-30T00:16:28Z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oogle.Documents.Tracking">
    <vt:lpwstr>true</vt:lpwstr>
  </property>
  <property fmtid="{D5CDD505-2E9C-101B-9397-08002B2CF9AE}" pid="3" name="Google.Documents.DocumentId">
    <vt:lpwstr>1O_HJXuyBUUtMCsLnOOycZt_yr710iT6PSUsFrD01NU0</vt:lpwstr>
  </property>
  <property fmtid="{D5CDD505-2E9C-101B-9397-08002B2CF9AE}" pid="4" name="Google.Documents.RevisionId">
    <vt:lpwstr>03915803015113492619</vt:lpwstr>
  </property>
  <property fmtid="{D5CDD505-2E9C-101B-9397-08002B2CF9AE}" pid="5" name="Google.Documents.PreviousRevisionId">
    <vt:lpwstr>14093749306246519285</vt:lpwstr>
  </property>
  <property fmtid="{D5CDD505-2E9C-101B-9397-08002B2CF9AE}" pid="6" name="Google.Documents.PluginVersion">
    <vt:lpwstr>2.0.2662.553</vt:lpwstr>
  </property>
  <property fmtid="{D5CDD505-2E9C-101B-9397-08002B2CF9AE}" pid="7" name="Google.Documents.MergeIncapabilityFlags">
    <vt:i4>0</vt:i4>
  </property>
</Properties>
</file>